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312" documentId="8_{DA72A0FA-78E3-454C-8DD4-1242337FF6CF}" xr6:coauthVersionLast="47" xr6:coauthVersionMax="47" xr10:uidLastSave="{AEFEED8B-A972-C64B-B704-DBA97DA4AEDA}"/>
  <bookViews>
    <workbookView xWindow="19320" yWindow="4120" windowWidth="30660" windowHeight="21180" xr2:uid="{020A98DF-9384-0940-8323-DBC4D699C0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4" i="1"/>
  <c r="G5" i="1"/>
  <c r="G6" i="1"/>
  <c r="G7" i="1"/>
  <c r="G8" i="1"/>
  <c r="G9" i="1"/>
  <c r="G10" i="1"/>
  <c r="G11" i="1"/>
  <c r="G12" i="1"/>
  <c r="G13" i="1"/>
  <c r="G14" i="1"/>
  <c r="G3" i="1"/>
  <c r="G2" i="1"/>
</calcChain>
</file>

<file path=xl/sharedStrings.xml><?xml version="1.0" encoding="utf-8"?>
<sst xmlns="http://schemas.openxmlformats.org/spreadsheetml/2006/main" count="746" uniqueCount="99">
  <si>
    <t>lang_npe_1</t>
  </si>
  <si>
    <t>lang_npe_10</t>
  </si>
  <si>
    <t>lang_npe_11</t>
  </si>
  <si>
    <t>lang_npe_12</t>
  </si>
  <si>
    <t>lang_npe_13</t>
  </si>
  <si>
    <t>lang_npe_2</t>
  </si>
  <si>
    <t>lang_npe_3</t>
  </si>
  <si>
    <t>lang_npe_4</t>
  </si>
  <si>
    <t>lang_npe_5</t>
  </si>
  <si>
    <t>lang_npe_6</t>
  </si>
  <si>
    <t>lang_npe_7</t>
  </si>
  <si>
    <t>lang_npe_8</t>
  </si>
  <si>
    <t>lang_npe_9</t>
  </si>
  <si>
    <t>math_npe_1</t>
  </si>
  <si>
    <t>math_npe_2</t>
  </si>
  <si>
    <t>math_npe_3</t>
  </si>
  <si>
    <t>collections_npe_1</t>
  </si>
  <si>
    <t>collections_npe_2</t>
  </si>
  <si>
    <t>collections_npe_3</t>
  </si>
  <si>
    <t>commons-io_npe_1</t>
  </si>
  <si>
    <t>commons-io_npe_10</t>
  </si>
  <si>
    <t>commons-io_npe_11</t>
  </si>
  <si>
    <t>commons-io_npe_12</t>
  </si>
  <si>
    <t>commons-io_npe_13</t>
  </si>
  <si>
    <t>commons-io_npe_14</t>
  </si>
  <si>
    <t>commons-io_npe_15</t>
  </si>
  <si>
    <t>commons-io_npe_16</t>
  </si>
  <si>
    <t>commons-io_npe_17</t>
  </si>
  <si>
    <t>commons-io_npe_18</t>
  </si>
  <si>
    <t>commons-io_npe_19</t>
  </si>
  <si>
    <t>commons-io_npe_2</t>
  </si>
  <si>
    <t>commons-io_npe_3</t>
  </si>
  <si>
    <t>commons-io_npe_4</t>
  </si>
  <si>
    <t>commons-io_npe_5</t>
  </si>
  <si>
    <t>commons-io_npe_6</t>
  </si>
  <si>
    <t>commons-io_npe_7</t>
  </si>
  <si>
    <t>commons-io_npe_8</t>
  </si>
  <si>
    <t>commons-io_npe_9</t>
  </si>
  <si>
    <t>BugId</t>
  </si>
  <si>
    <t>Rule</t>
  </si>
  <si>
    <t>null_ref_direct</t>
  </si>
  <si>
    <t>null_arg_direct</t>
  </si>
  <si>
    <t>null_ref_origin</t>
  </si>
  <si>
    <t>null_arg_origin</t>
  </si>
  <si>
    <t>Applied</t>
  </si>
  <si>
    <t>Null Ref.</t>
  </si>
  <si>
    <t>Null Arg.</t>
  </si>
  <si>
    <t>Null Ref. + Origin</t>
  </si>
  <si>
    <t>Null Arg. + Origin</t>
  </si>
  <si>
    <t>null_arg_transfer</t>
  </si>
  <si>
    <t>Null Arg. + Transfer</t>
  </si>
  <si>
    <t>null_ref_transfer</t>
  </si>
  <si>
    <t>Null Ref. + Transfer</t>
  </si>
  <si>
    <t>FuseFL</t>
    <phoneticPr fontId="1" type="noConversion"/>
  </si>
  <si>
    <t>AutoFL</t>
    <phoneticPr fontId="1" type="noConversion"/>
  </si>
  <si>
    <t>matched</t>
  </si>
  <si>
    <t>partially_matched</t>
  </si>
  <si>
    <t>not_matched</t>
  </si>
  <si>
    <t>d4j_chart_2</t>
  </si>
  <si>
    <t>d4j_chart_4</t>
  </si>
  <si>
    <t>d4j_chart_14</t>
  </si>
  <si>
    <t>d4j_chart_16</t>
  </si>
  <si>
    <t>d4j_cli_5</t>
  </si>
  <si>
    <t>d4j_cli_30</t>
  </si>
  <si>
    <t>d4j_closure_2</t>
  </si>
  <si>
    <t>d4j_closure_171</t>
  </si>
  <si>
    <t>d4j_codec_5</t>
  </si>
  <si>
    <t>d4j_codec_13</t>
  </si>
  <si>
    <t>d4j_codec_17</t>
  </si>
  <si>
    <t>d4j_csv_4</t>
  </si>
  <si>
    <t>d4j_csv_9</t>
  </si>
  <si>
    <t>d4j_csv_11</t>
  </si>
  <si>
    <t>d4j_gson_6</t>
  </si>
  <si>
    <t>d4j_gson_9</t>
  </si>
  <si>
    <t>d4j_jacksoncore_8</t>
  </si>
  <si>
    <t>d4j_jacksondatabind_3</t>
  </si>
  <si>
    <t>d4j_jacksondatabind_13</t>
  </si>
  <si>
    <t>d4j_jacksondatabind_80</t>
  </si>
  <si>
    <t>d4j_jacksondatabind_93</t>
  </si>
  <si>
    <t>d4j_jacksondatabind_95</t>
  </si>
  <si>
    <t>d4j_jacksondatabind_107</t>
  </si>
  <si>
    <t>d4j_jsoup_8</t>
  </si>
  <si>
    <t>d4j_jsoup_22</t>
  </si>
  <si>
    <t>d4j_jsoup_26</t>
  </si>
  <si>
    <t>d4j_jsoup_66</t>
  </si>
  <si>
    <t>d4j_jsoup_89</t>
  </si>
  <si>
    <t>d4j_lang_20</t>
  </si>
  <si>
    <t>d4j_lang_33</t>
  </si>
  <si>
    <t>d4j_lang_39</t>
  </si>
  <si>
    <t>d4j_lang_47</t>
  </si>
  <si>
    <t>d4j_lang_57</t>
  </si>
  <si>
    <t>d4j_math_4</t>
  </si>
  <si>
    <t>d4j_math_70</t>
  </si>
  <si>
    <t>d4j_math_79</t>
  </si>
  <si>
    <t>d4j_mockito_18</t>
  </si>
  <si>
    <t>d4j_mockito_38</t>
  </si>
  <si>
    <t>commons-io_npe_1</t>
    <phoneticPr fontId="1" type="noConversion"/>
  </si>
  <si>
    <t>commons-io_npe_2</t>
    <phoneticPr fontId="1" type="noConversion"/>
  </si>
  <si>
    <t>LogicFL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</si>
</sst>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맑은 고딕"/>
      <family val="2"/>
      <charset val="129"/>
      <scheme val="minor"/>
    </font>
    <font>
      <sz val="8"/>
      <color theme="1"/>
      <name val="Helvetica Neue"/>
      <family val="2"/>
    </font>
    <font>
      <sz val="10"/>
      <color theme="1"/>
      <name val="Arial"/>
      <family val="2"/>
    </font>
    <font>
      <b/>
      <sz val="12"/>
      <color rgb="FF000000"/>
      <name val="Helvetica"/>
      <family val="2"/>
    </font>
    <font>
      <b/>
      <sz val="10"/>
      <color theme="1"/>
      <name val="Arial"/>
      <family val="2"/>
    </font>
    <font>
      <sz val="11"/>
      <color rgb="FF000000"/>
      <name val="Helvetica Neue"/>
      <family val="2"/>
    </font>
    <font>
      <b/>
      <sz val="11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B7BE-9428-B24B-A981-39A829EE7A0D}">
  <dimension ref="A1:M99"/>
  <sheetViews>
    <sheetView tabSelected="1" topLeftCell="A13" workbookViewId="0">
      <selection activeCell="D84" sqref="D84"/>
    </sheetView>
  </sheetViews>
  <sheetFormatPr baseColWidth="10" defaultRowHeight="18"/>
  <cols>
    <col min="1" max="1" width="33.42578125" customWidth="1"/>
    <col min="3" max="4" width="15.140625" customWidth="1"/>
    <col min="6" max="6" width="16.28515625" customWidth="1"/>
    <col min="11" max="11" width="21.5703125" customWidth="1"/>
  </cols>
  <sheetData>
    <row r="1" spans="1:13">
      <c r="A1" s="1" t="s">
        <v>38</v>
      </c>
      <c r="B1" s="1" t="s">
        <v>39</v>
      </c>
      <c r="C1" s="3" t="s">
        <v>44</v>
      </c>
      <c r="D1" s="2" t="s">
        <v>98</v>
      </c>
      <c r="E1" t="s">
        <v>53</v>
      </c>
      <c r="F1" t="s">
        <v>54</v>
      </c>
    </row>
    <row r="2" spans="1:13">
      <c r="A2" s="1" t="s">
        <v>0</v>
      </c>
      <c r="B2" s="2" t="s">
        <v>40</v>
      </c>
      <c r="C2" s="2" t="s">
        <v>45</v>
      </c>
      <c r="D2" s="2" t="s">
        <v>55</v>
      </c>
      <c r="E2" s="9" t="s">
        <v>55</v>
      </c>
      <c r="F2" t="s">
        <v>55</v>
      </c>
      <c r="G2" t="str">
        <f>VLOOKUP(Sheet1!A2,Sheet2!$A$1:$B$76, 2, )</f>
        <v>matched</v>
      </c>
      <c r="K2" s="5"/>
      <c r="L2" s="4"/>
      <c r="M2" s="4"/>
    </row>
    <row r="3" spans="1:13" ht="17" customHeight="1">
      <c r="A3" s="1" t="s">
        <v>0</v>
      </c>
      <c r="B3" s="2" t="s">
        <v>40</v>
      </c>
      <c r="C3" s="2" t="s">
        <v>45</v>
      </c>
      <c r="D3" s="2" t="s">
        <v>55</v>
      </c>
      <c r="E3" s="9" t="s">
        <v>55</v>
      </c>
      <c r="F3" t="s">
        <v>55</v>
      </c>
      <c r="G3" t="str">
        <f>VLOOKUP(Sheet1!A3,Sheet2!$A$1:$B$76, 2, )</f>
        <v>matched</v>
      </c>
      <c r="K3" s="5"/>
      <c r="L3" s="4"/>
      <c r="M3" s="4"/>
    </row>
    <row r="4" spans="1:13">
      <c r="A4" s="1" t="s">
        <v>5</v>
      </c>
      <c r="B4" s="2" t="s">
        <v>40</v>
      </c>
      <c r="C4" s="2" t="s">
        <v>45</v>
      </c>
      <c r="D4" s="2" t="s">
        <v>55</v>
      </c>
      <c r="E4" s="9" t="s">
        <v>57</v>
      </c>
      <c r="F4" t="s">
        <v>55</v>
      </c>
      <c r="G4" t="str">
        <f>VLOOKUP(Sheet1!A4,Sheet2!$A$1:$B$76, 2, )</f>
        <v>matched</v>
      </c>
      <c r="K4" s="5"/>
      <c r="L4" s="4"/>
      <c r="M4" s="4"/>
    </row>
    <row r="5" spans="1:13">
      <c r="A5" s="1" t="s">
        <v>6</v>
      </c>
      <c r="B5" s="2" t="s">
        <v>41</v>
      </c>
      <c r="C5" s="2" t="s">
        <v>46</v>
      </c>
      <c r="D5" s="2" t="s">
        <v>55</v>
      </c>
      <c r="E5" s="9" t="s">
        <v>55</v>
      </c>
      <c r="F5" t="s">
        <v>55</v>
      </c>
      <c r="G5" t="str">
        <f>VLOOKUP(Sheet1!A5,Sheet2!$A$1:$B$76, 2, )</f>
        <v>matched</v>
      </c>
      <c r="K5" s="5"/>
      <c r="L5" s="4"/>
      <c r="M5" s="4"/>
    </row>
    <row r="6" spans="1:13">
      <c r="A6" s="1" t="s">
        <v>7</v>
      </c>
      <c r="B6" s="2" t="s">
        <v>40</v>
      </c>
      <c r="C6" s="2" t="s">
        <v>45</v>
      </c>
      <c r="D6" s="2" t="s">
        <v>55</v>
      </c>
      <c r="E6" s="9" t="s">
        <v>55</v>
      </c>
      <c r="F6" t="s">
        <v>55</v>
      </c>
      <c r="G6" t="str">
        <f>VLOOKUP(Sheet1!A6,Sheet2!$A$1:$B$76, 2, )</f>
        <v>matched</v>
      </c>
      <c r="K6" s="5"/>
      <c r="L6" s="4"/>
      <c r="M6" s="4"/>
    </row>
    <row r="7" spans="1:13">
      <c r="A7" s="1" t="s">
        <v>8</v>
      </c>
      <c r="B7" s="2" t="s">
        <v>40</v>
      </c>
      <c r="C7" s="2" t="s">
        <v>45</v>
      </c>
      <c r="D7" s="2" t="s">
        <v>55</v>
      </c>
      <c r="E7" s="9" t="s">
        <v>55</v>
      </c>
      <c r="F7" t="s">
        <v>55</v>
      </c>
      <c r="G7" t="str">
        <f>VLOOKUP(Sheet1!A7,Sheet2!$A$1:$B$76, 2, )</f>
        <v>matched</v>
      </c>
      <c r="K7" s="5"/>
      <c r="L7" s="4"/>
      <c r="M7" s="4"/>
    </row>
    <row r="8" spans="1:13">
      <c r="A8" s="1" t="s">
        <v>9</v>
      </c>
      <c r="B8" s="2" t="s">
        <v>40</v>
      </c>
      <c r="C8" s="2" t="s">
        <v>45</v>
      </c>
      <c r="D8" s="2" t="s">
        <v>55</v>
      </c>
      <c r="E8" s="9" t="s">
        <v>55</v>
      </c>
      <c r="F8" t="s">
        <v>55</v>
      </c>
      <c r="G8" t="str">
        <f>VLOOKUP(Sheet1!A8,Sheet2!$A$1:$B$76, 2, )</f>
        <v>matched</v>
      </c>
      <c r="K8" s="5"/>
      <c r="L8" s="4"/>
      <c r="M8" s="4"/>
    </row>
    <row r="9" spans="1:13">
      <c r="A9" s="1" t="s">
        <v>10</v>
      </c>
      <c r="B9" s="2" t="s">
        <v>40</v>
      </c>
      <c r="C9" s="2" t="s">
        <v>45</v>
      </c>
      <c r="D9" s="2" t="s">
        <v>55</v>
      </c>
      <c r="E9" s="9" t="s">
        <v>55</v>
      </c>
      <c r="F9" t="s">
        <v>55</v>
      </c>
      <c r="G9" t="str">
        <f>VLOOKUP(Sheet1!A9,Sheet2!$A$1:$B$76, 2, )</f>
        <v>matched</v>
      </c>
      <c r="K9" s="5"/>
      <c r="L9" s="4"/>
      <c r="M9" s="4"/>
    </row>
    <row r="10" spans="1:13">
      <c r="A10" s="1" t="s">
        <v>11</v>
      </c>
      <c r="B10" s="2" t="s">
        <v>40</v>
      </c>
      <c r="C10" s="2" t="s">
        <v>45</v>
      </c>
      <c r="D10" s="2" t="s">
        <v>55</v>
      </c>
      <c r="E10" s="9" t="s">
        <v>55</v>
      </c>
      <c r="F10" t="s">
        <v>55</v>
      </c>
      <c r="G10" t="str">
        <f>VLOOKUP(Sheet1!A10,Sheet2!$A$1:$B$76, 2, )</f>
        <v>matched</v>
      </c>
      <c r="K10" s="5"/>
      <c r="L10" s="4"/>
      <c r="M10" s="4"/>
    </row>
    <row r="11" spans="1:13">
      <c r="A11" s="1" t="s">
        <v>12</v>
      </c>
      <c r="B11" s="2" t="s">
        <v>40</v>
      </c>
      <c r="C11" s="2" t="s">
        <v>45</v>
      </c>
      <c r="D11" s="2" t="s">
        <v>55</v>
      </c>
      <c r="E11" s="9" t="s">
        <v>55</v>
      </c>
      <c r="F11" t="s">
        <v>56</v>
      </c>
      <c r="G11" t="str">
        <f>VLOOKUP(Sheet1!A11,Sheet2!$A$1:$B$76, 2, )</f>
        <v>matched</v>
      </c>
      <c r="K11" s="5"/>
      <c r="L11" s="4"/>
      <c r="M11" s="4"/>
    </row>
    <row r="12" spans="1:13">
      <c r="A12" s="1" t="s">
        <v>12</v>
      </c>
      <c r="B12" s="2" t="s">
        <v>40</v>
      </c>
      <c r="C12" s="2" t="s">
        <v>45</v>
      </c>
      <c r="D12" s="2" t="s">
        <v>55</v>
      </c>
      <c r="E12" s="9" t="s">
        <v>55</v>
      </c>
      <c r="F12" t="s">
        <v>56</v>
      </c>
      <c r="G12" t="str">
        <f>VLOOKUP(Sheet1!A12,Sheet2!$A$1:$B$76, 2, )</f>
        <v>matched</v>
      </c>
      <c r="K12" s="5"/>
      <c r="L12" s="4"/>
      <c r="M12" s="4"/>
    </row>
    <row r="13" spans="1:13">
      <c r="A13" s="1" t="s">
        <v>1</v>
      </c>
      <c r="B13" s="2" t="s">
        <v>41</v>
      </c>
      <c r="C13" s="2" t="s">
        <v>46</v>
      </c>
      <c r="D13" s="2" t="s">
        <v>55</v>
      </c>
      <c r="E13" s="9" t="s">
        <v>55</v>
      </c>
      <c r="F13" t="s">
        <v>56</v>
      </c>
      <c r="G13" t="str">
        <f>VLOOKUP(Sheet1!A13,Sheet2!$A$1:$B$76, 2, )</f>
        <v>matched</v>
      </c>
      <c r="K13" s="5"/>
      <c r="L13" s="4"/>
      <c r="M13" s="4"/>
    </row>
    <row r="14" spans="1:13">
      <c r="A14" s="1" t="s">
        <v>1</v>
      </c>
      <c r="B14" s="2" t="s">
        <v>41</v>
      </c>
      <c r="C14" s="2" t="s">
        <v>46</v>
      </c>
      <c r="D14" s="2" t="s">
        <v>55</v>
      </c>
      <c r="E14" s="9" t="s">
        <v>55</v>
      </c>
      <c r="F14" t="s">
        <v>56</v>
      </c>
      <c r="G14" t="str">
        <f>VLOOKUP(Sheet1!A14,Sheet2!$A$1:$B$76, 2, )</f>
        <v>matched</v>
      </c>
      <c r="K14" s="5"/>
      <c r="L14" s="4"/>
      <c r="M14" s="4"/>
    </row>
    <row r="15" spans="1:13">
      <c r="A15" s="1" t="s">
        <v>2</v>
      </c>
      <c r="B15" s="2" t="s">
        <v>40</v>
      </c>
      <c r="C15" s="2" t="s">
        <v>45</v>
      </c>
      <c r="D15" s="2" t="s">
        <v>55</v>
      </c>
      <c r="E15" s="9" t="s">
        <v>55</v>
      </c>
      <c r="F15" t="s">
        <v>57</v>
      </c>
      <c r="G15" t="str">
        <f>VLOOKUP(Sheet1!A15,Sheet2!$A$1:$B$76, 2, )</f>
        <v>matched</v>
      </c>
      <c r="K15" s="5"/>
      <c r="L15" s="4"/>
      <c r="M15" s="4"/>
    </row>
    <row r="16" spans="1:13">
      <c r="A16" s="1" t="s">
        <v>3</v>
      </c>
      <c r="B16" s="2" t="s">
        <v>40</v>
      </c>
      <c r="C16" s="2" t="s">
        <v>45</v>
      </c>
      <c r="D16" s="2" t="s">
        <v>55</v>
      </c>
      <c r="E16" s="9" t="s">
        <v>55</v>
      </c>
      <c r="F16" t="s">
        <v>57</v>
      </c>
      <c r="G16" t="str">
        <f>VLOOKUP(Sheet1!A16,Sheet2!$A$1:$B$76, 2, )</f>
        <v>matched</v>
      </c>
      <c r="K16" s="5"/>
      <c r="L16" s="4"/>
      <c r="M16" s="4"/>
    </row>
    <row r="17" spans="1:13">
      <c r="A17" s="1" t="s">
        <v>4</v>
      </c>
      <c r="B17" s="2" t="s">
        <v>41</v>
      </c>
      <c r="C17" s="2" t="s">
        <v>46</v>
      </c>
      <c r="D17" s="2" t="s">
        <v>55</v>
      </c>
      <c r="E17" s="9" t="s">
        <v>55</v>
      </c>
      <c r="F17" t="s">
        <v>55</v>
      </c>
      <c r="G17" t="str">
        <f>VLOOKUP(Sheet1!A17,Sheet2!$A$1:$B$76, 2, )</f>
        <v>matched</v>
      </c>
      <c r="K17" s="5"/>
      <c r="L17" s="4"/>
      <c r="M17" s="4"/>
    </row>
    <row r="18" spans="1:13">
      <c r="A18" s="1" t="s">
        <v>13</v>
      </c>
      <c r="B18" s="2" t="s">
        <v>40</v>
      </c>
      <c r="C18" s="2" t="s">
        <v>45</v>
      </c>
      <c r="D18" s="2" t="s">
        <v>55</v>
      </c>
      <c r="E18" s="9" t="s">
        <v>55</v>
      </c>
      <c r="F18" t="s">
        <v>55</v>
      </c>
      <c r="G18" t="str">
        <f>VLOOKUP(Sheet1!A18,Sheet2!$A$1:$B$76, 2, )</f>
        <v>matched</v>
      </c>
      <c r="K18" s="5"/>
      <c r="L18" s="4"/>
      <c r="M18" s="4"/>
    </row>
    <row r="19" spans="1:13">
      <c r="A19" s="1" t="s">
        <v>14</v>
      </c>
      <c r="B19" s="2" t="s">
        <v>40</v>
      </c>
      <c r="C19" s="2" t="s">
        <v>45</v>
      </c>
      <c r="D19" s="2" t="s">
        <v>55</v>
      </c>
      <c r="E19" s="9" t="s">
        <v>55</v>
      </c>
      <c r="F19" t="s">
        <v>55</v>
      </c>
      <c r="G19" t="str">
        <f>VLOOKUP(Sheet1!A19,Sheet2!$A$1:$B$76, 2, )</f>
        <v>matched</v>
      </c>
      <c r="K19" s="5"/>
      <c r="L19" s="4"/>
      <c r="M19" s="4"/>
    </row>
    <row r="20" spans="1:13">
      <c r="A20" s="1" t="s">
        <v>14</v>
      </c>
      <c r="B20" s="2" t="s">
        <v>40</v>
      </c>
      <c r="C20" s="2" t="s">
        <v>45</v>
      </c>
      <c r="D20" s="2" t="s">
        <v>55</v>
      </c>
      <c r="E20" s="9" t="s">
        <v>55</v>
      </c>
      <c r="F20" t="s">
        <v>55</v>
      </c>
      <c r="G20" t="str">
        <f>VLOOKUP(Sheet1!A20,Sheet2!$A$1:$B$76, 2, )</f>
        <v>matched</v>
      </c>
      <c r="K20" s="5"/>
      <c r="L20" s="4"/>
      <c r="M20" s="4"/>
    </row>
    <row r="21" spans="1:13">
      <c r="A21" s="1" t="s">
        <v>14</v>
      </c>
      <c r="B21" s="2" t="s">
        <v>40</v>
      </c>
      <c r="C21" s="2" t="s">
        <v>45</v>
      </c>
      <c r="D21" s="2" t="s">
        <v>55</v>
      </c>
      <c r="E21" s="9" t="s">
        <v>55</v>
      </c>
      <c r="F21" t="s">
        <v>55</v>
      </c>
      <c r="G21" t="str">
        <f>VLOOKUP(Sheet1!A21,Sheet2!$A$1:$B$76, 2, )</f>
        <v>matched</v>
      </c>
      <c r="K21" s="5"/>
      <c r="L21" s="4"/>
      <c r="M21" s="4"/>
    </row>
    <row r="22" spans="1:13">
      <c r="A22" s="1" t="s">
        <v>15</v>
      </c>
      <c r="B22" s="2" t="s">
        <v>40</v>
      </c>
      <c r="C22" s="2" t="s">
        <v>45</v>
      </c>
      <c r="D22" s="2" t="s">
        <v>55</v>
      </c>
      <c r="E22" s="9" t="s">
        <v>55</v>
      </c>
      <c r="F22" t="s">
        <v>55</v>
      </c>
      <c r="G22" t="str">
        <f>VLOOKUP(Sheet1!A22,Sheet2!$A$1:$B$76, 2, )</f>
        <v>matched</v>
      </c>
      <c r="K22" s="5"/>
      <c r="L22" s="4"/>
      <c r="M22" s="4"/>
    </row>
    <row r="23" spans="1:13">
      <c r="A23" s="1" t="s">
        <v>16</v>
      </c>
      <c r="B23" s="2" t="s">
        <v>40</v>
      </c>
      <c r="C23" s="2" t="s">
        <v>45</v>
      </c>
      <c r="D23" s="2" t="s">
        <v>55</v>
      </c>
      <c r="E23" s="9" t="s">
        <v>55</v>
      </c>
      <c r="F23" t="s">
        <v>55</v>
      </c>
      <c r="G23" t="str">
        <f>VLOOKUP(Sheet1!A23,Sheet2!$A$1:$B$76, 2, )</f>
        <v>matched</v>
      </c>
      <c r="K23" s="5"/>
      <c r="L23" s="4"/>
      <c r="M23" s="4"/>
    </row>
    <row r="24" spans="1:13">
      <c r="A24" s="6" t="s">
        <v>17</v>
      </c>
      <c r="B24" s="3" t="s">
        <v>42</v>
      </c>
      <c r="C24" s="3" t="s">
        <v>47</v>
      </c>
      <c r="D24" s="3" t="s">
        <v>55</v>
      </c>
      <c r="E24" s="10" t="s">
        <v>55</v>
      </c>
      <c r="F24" s="7" t="s">
        <v>55</v>
      </c>
      <c r="G24" t="str">
        <f>VLOOKUP(Sheet1!A24,Sheet2!$A$1:$B$76, 2, )</f>
        <v>matched</v>
      </c>
      <c r="K24" s="5"/>
      <c r="L24" s="4"/>
      <c r="M24" s="4"/>
    </row>
    <row r="25" spans="1:13">
      <c r="A25" s="1" t="s">
        <v>17</v>
      </c>
      <c r="B25" s="2" t="s">
        <v>40</v>
      </c>
      <c r="C25" s="2" t="s">
        <v>45</v>
      </c>
      <c r="D25" s="2" t="s">
        <v>55</v>
      </c>
      <c r="E25" s="9" t="s">
        <v>55</v>
      </c>
      <c r="F25" t="s">
        <v>55</v>
      </c>
      <c r="G25" t="str">
        <f>VLOOKUP(Sheet1!A25,Sheet2!$A$1:$B$76, 2, )</f>
        <v>matched</v>
      </c>
      <c r="K25" s="5"/>
      <c r="L25" s="4"/>
      <c r="M25" s="4"/>
    </row>
    <row r="26" spans="1:13">
      <c r="A26" s="1" t="s">
        <v>17</v>
      </c>
      <c r="B26" s="2" t="s">
        <v>40</v>
      </c>
      <c r="C26" s="2" t="s">
        <v>45</v>
      </c>
      <c r="D26" s="2" t="s">
        <v>55</v>
      </c>
      <c r="E26" s="9" t="s">
        <v>55</v>
      </c>
      <c r="F26" t="s">
        <v>55</v>
      </c>
      <c r="G26" t="str">
        <f>VLOOKUP(Sheet1!A26,Sheet2!$A$1:$B$76, 2, )</f>
        <v>matched</v>
      </c>
      <c r="K26" s="5"/>
      <c r="L26" s="4"/>
      <c r="M26" s="4"/>
    </row>
    <row r="27" spans="1:13">
      <c r="A27" s="1" t="s">
        <v>18</v>
      </c>
      <c r="B27" s="2" t="s">
        <v>40</v>
      </c>
      <c r="C27" s="2" t="s">
        <v>45</v>
      </c>
      <c r="D27" s="2" t="s">
        <v>56</v>
      </c>
      <c r="E27" s="9" t="s">
        <v>56</v>
      </c>
      <c r="F27" t="s">
        <v>56</v>
      </c>
      <c r="G27" t="str">
        <f>VLOOKUP(Sheet1!A27,Sheet2!$A$1:$B$76, 2, )</f>
        <v>partially_matched</v>
      </c>
      <c r="K27" s="5"/>
      <c r="L27" s="4"/>
      <c r="M27" s="4"/>
    </row>
    <row r="28" spans="1:13">
      <c r="A28" s="1" t="s">
        <v>18</v>
      </c>
      <c r="B28" s="2" t="s">
        <v>40</v>
      </c>
      <c r="C28" s="2" t="s">
        <v>45</v>
      </c>
      <c r="D28" s="2" t="s">
        <v>56</v>
      </c>
      <c r="E28" s="9" t="s">
        <v>56</v>
      </c>
      <c r="F28" t="s">
        <v>56</v>
      </c>
      <c r="G28" t="str">
        <f>VLOOKUP(Sheet1!A28,Sheet2!$A$1:$B$76, 2, )</f>
        <v>partially_matched</v>
      </c>
      <c r="K28" s="5"/>
      <c r="L28" s="4"/>
      <c r="M28" s="4"/>
    </row>
    <row r="29" spans="1:13">
      <c r="A29" s="1" t="s">
        <v>18</v>
      </c>
      <c r="B29" s="2" t="s">
        <v>41</v>
      </c>
      <c r="C29" s="2" t="s">
        <v>46</v>
      </c>
      <c r="D29" s="2" t="s">
        <v>56</v>
      </c>
      <c r="E29" s="9" t="s">
        <v>56</v>
      </c>
      <c r="F29" t="s">
        <v>56</v>
      </c>
      <c r="G29" t="str">
        <f>VLOOKUP(Sheet1!A29,Sheet2!$A$1:$B$76, 2, )</f>
        <v>partially_matched</v>
      </c>
      <c r="K29" s="5"/>
      <c r="L29" s="4"/>
      <c r="M29" s="4"/>
    </row>
    <row r="30" spans="1:13">
      <c r="A30" s="1" t="s">
        <v>19</v>
      </c>
      <c r="B30" s="2" t="s">
        <v>40</v>
      </c>
      <c r="C30" s="2" t="s">
        <v>45</v>
      </c>
      <c r="D30" s="2" t="s">
        <v>55</v>
      </c>
      <c r="E30" s="9" t="s">
        <v>55</v>
      </c>
      <c r="F30" t="s">
        <v>55</v>
      </c>
      <c r="G30" t="str">
        <f>VLOOKUP(Sheet1!A30,Sheet2!$A$1:$B$76, 2, )</f>
        <v>matched</v>
      </c>
      <c r="K30" s="5"/>
      <c r="L30" s="4"/>
      <c r="M30" s="4"/>
    </row>
    <row r="31" spans="1:13">
      <c r="A31" s="1" t="s">
        <v>30</v>
      </c>
      <c r="B31" s="2" t="s">
        <v>40</v>
      </c>
      <c r="C31" s="2" t="s">
        <v>45</v>
      </c>
      <c r="D31" s="2" t="s">
        <v>55</v>
      </c>
      <c r="E31" s="9" t="s">
        <v>56</v>
      </c>
      <c r="F31" t="s">
        <v>55</v>
      </c>
      <c r="G31" t="str">
        <f>VLOOKUP(Sheet1!A31,Sheet2!$A$1:$B$76, 2, )</f>
        <v>matched</v>
      </c>
      <c r="K31" s="5"/>
      <c r="L31" s="4"/>
      <c r="M31" s="4"/>
    </row>
    <row r="32" spans="1:13">
      <c r="A32" s="1" t="s">
        <v>31</v>
      </c>
      <c r="B32" s="2" t="s">
        <v>41</v>
      </c>
      <c r="C32" s="2" t="s">
        <v>46</v>
      </c>
      <c r="D32" s="2" t="s">
        <v>55</v>
      </c>
      <c r="E32" s="9" t="s">
        <v>55</v>
      </c>
      <c r="F32" t="s">
        <v>56</v>
      </c>
      <c r="G32" t="str">
        <f>VLOOKUP(Sheet1!A32,Sheet2!$A$1:$B$76, 2, )</f>
        <v>matched</v>
      </c>
      <c r="K32" s="5"/>
      <c r="L32" s="4"/>
      <c r="M32" s="4"/>
    </row>
    <row r="33" spans="1:13">
      <c r="A33" s="1" t="s">
        <v>31</v>
      </c>
      <c r="B33" s="2" t="s">
        <v>40</v>
      </c>
      <c r="C33" s="2" t="s">
        <v>45</v>
      </c>
      <c r="D33" s="2" t="s">
        <v>55</v>
      </c>
      <c r="E33" s="9" t="s">
        <v>55</v>
      </c>
      <c r="F33" t="s">
        <v>56</v>
      </c>
      <c r="G33" t="str">
        <f>VLOOKUP(Sheet1!A33,Sheet2!$A$1:$B$76, 2, )</f>
        <v>matched</v>
      </c>
      <c r="K33" s="5"/>
      <c r="L33" s="4"/>
      <c r="M33" s="4"/>
    </row>
    <row r="34" spans="1:13">
      <c r="A34" s="1" t="s">
        <v>31</v>
      </c>
      <c r="B34" s="2" t="s">
        <v>40</v>
      </c>
      <c r="C34" s="2" t="s">
        <v>45</v>
      </c>
      <c r="D34" s="2" t="s">
        <v>55</v>
      </c>
      <c r="E34" s="9" t="s">
        <v>55</v>
      </c>
      <c r="F34" t="s">
        <v>56</v>
      </c>
      <c r="G34" t="str">
        <f>VLOOKUP(Sheet1!A34,Sheet2!$A$1:$B$76, 2, )</f>
        <v>matched</v>
      </c>
      <c r="K34" s="5"/>
      <c r="L34" s="4"/>
      <c r="M34" s="4"/>
    </row>
    <row r="35" spans="1:13">
      <c r="A35" s="1" t="s">
        <v>31</v>
      </c>
      <c r="B35" s="2" t="s">
        <v>40</v>
      </c>
      <c r="C35" s="2" t="s">
        <v>45</v>
      </c>
      <c r="D35" s="2" t="s">
        <v>55</v>
      </c>
      <c r="E35" s="9" t="s">
        <v>55</v>
      </c>
      <c r="F35" t="s">
        <v>56</v>
      </c>
      <c r="G35" t="str">
        <f>VLOOKUP(Sheet1!A35,Sheet2!$A$1:$B$76, 2, )</f>
        <v>matched</v>
      </c>
      <c r="K35" s="5"/>
      <c r="L35" s="4"/>
      <c r="M35" s="4"/>
    </row>
    <row r="36" spans="1:13">
      <c r="A36" s="1" t="s">
        <v>31</v>
      </c>
      <c r="B36" s="2" t="s">
        <v>40</v>
      </c>
      <c r="C36" s="2" t="s">
        <v>45</v>
      </c>
      <c r="D36" s="2" t="s">
        <v>55</v>
      </c>
      <c r="E36" s="9" t="s">
        <v>55</v>
      </c>
      <c r="F36" t="s">
        <v>56</v>
      </c>
      <c r="G36" t="str">
        <f>VLOOKUP(Sheet1!A36,Sheet2!$A$1:$B$76, 2, )</f>
        <v>matched</v>
      </c>
      <c r="K36" s="5"/>
      <c r="L36" s="4"/>
      <c r="M36" s="4"/>
    </row>
    <row r="37" spans="1:13">
      <c r="A37" s="1" t="s">
        <v>31</v>
      </c>
      <c r="B37" s="2" t="s">
        <v>40</v>
      </c>
      <c r="C37" s="2" t="s">
        <v>45</v>
      </c>
      <c r="D37" s="2" t="s">
        <v>55</v>
      </c>
      <c r="E37" s="9" t="s">
        <v>55</v>
      </c>
      <c r="F37" t="s">
        <v>56</v>
      </c>
      <c r="G37" t="str">
        <f>VLOOKUP(Sheet1!A37,Sheet2!$A$1:$B$76, 2, )</f>
        <v>matched</v>
      </c>
      <c r="K37" s="5"/>
      <c r="L37" s="4"/>
      <c r="M37" s="4"/>
    </row>
    <row r="38" spans="1:13">
      <c r="A38" s="1" t="s">
        <v>31</v>
      </c>
      <c r="B38" s="2" t="s">
        <v>41</v>
      </c>
      <c r="C38" s="2" t="s">
        <v>46</v>
      </c>
      <c r="D38" s="2" t="s">
        <v>55</v>
      </c>
      <c r="E38" s="9" t="s">
        <v>55</v>
      </c>
      <c r="F38" t="s">
        <v>56</v>
      </c>
      <c r="G38" t="str">
        <f>VLOOKUP(Sheet1!A38,Sheet2!$A$1:$B$76, 2, )</f>
        <v>matched</v>
      </c>
      <c r="K38" s="5"/>
      <c r="L38" s="4"/>
      <c r="M38" s="4"/>
    </row>
    <row r="39" spans="1:13">
      <c r="A39" s="1" t="s">
        <v>32</v>
      </c>
      <c r="B39" s="2" t="s">
        <v>40</v>
      </c>
      <c r="C39" s="2" t="s">
        <v>45</v>
      </c>
      <c r="D39" s="2" t="s">
        <v>55</v>
      </c>
      <c r="E39" s="9" t="s">
        <v>55</v>
      </c>
      <c r="F39" t="s">
        <v>55</v>
      </c>
      <c r="G39" t="str">
        <f>VLOOKUP(Sheet1!A39,Sheet2!$A$1:$B$76, 2, )</f>
        <v>matched</v>
      </c>
      <c r="K39" s="5"/>
      <c r="L39" s="4"/>
      <c r="M39" s="4"/>
    </row>
    <row r="40" spans="1:13">
      <c r="A40" s="6" t="s">
        <v>33</v>
      </c>
      <c r="B40" s="3" t="s">
        <v>42</v>
      </c>
      <c r="C40" s="3" t="s">
        <v>47</v>
      </c>
      <c r="D40" s="3" t="s">
        <v>56</v>
      </c>
      <c r="E40" s="10" t="s">
        <v>56</v>
      </c>
      <c r="F40" s="7" t="s">
        <v>56</v>
      </c>
      <c r="G40" s="7" t="str">
        <f>VLOOKUP(Sheet1!A40,Sheet2!$A$1:$B$76, 2, )</f>
        <v>partially_matched</v>
      </c>
      <c r="K40" s="5"/>
      <c r="L40" s="4"/>
      <c r="M40" s="4"/>
    </row>
    <row r="41" spans="1:13">
      <c r="A41" s="1" t="s">
        <v>33</v>
      </c>
      <c r="B41" s="2" t="s">
        <v>40</v>
      </c>
      <c r="C41" s="2" t="s">
        <v>45</v>
      </c>
      <c r="D41" s="2" t="s">
        <v>56</v>
      </c>
      <c r="E41" s="9" t="s">
        <v>56</v>
      </c>
      <c r="F41" t="s">
        <v>56</v>
      </c>
      <c r="G41" t="str">
        <f>VLOOKUP(Sheet1!A41,Sheet2!$A$1:$B$76, 2, )</f>
        <v>partially_matched</v>
      </c>
      <c r="K41" s="5"/>
      <c r="L41" s="4"/>
      <c r="M41" s="4"/>
    </row>
    <row r="42" spans="1:13">
      <c r="A42" s="1" t="s">
        <v>34</v>
      </c>
      <c r="B42" s="2" t="s">
        <v>40</v>
      </c>
      <c r="C42" s="2" t="s">
        <v>45</v>
      </c>
      <c r="D42" s="2" t="s">
        <v>55</v>
      </c>
      <c r="E42" s="9" t="s">
        <v>55</v>
      </c>
      <c r="F42" t="s">
        <v>55</v>
      </c>
      <c r="G42" t="str">
        <f>VLOOKUP(Sheet1!A42,Sheet2!$A$1:$B$76, 2, )</f>
        <v>matched</v>
      </c>
      <c r="K42" s="5"/>
      <c r="L42" s="4"/>
      <c r="M42" s="4"/>
    </row>
    <row r="43" spans="1:13">
      <c r="A43" s="1" t="s">
        <v>35</v>
      </c>
      <c r="B43" s="2" t="s">
        <v>40</v>
      </c>
      <c r="C43" s="2" t="s">
        <v>45</v>
      </c>
      <c r="D43" s="2" t="s">
        <v>55</v>
      </c>
      <c r="E43" s="9" t="s">
        <v>55</v>
      </c>
      <c r="F43" t="s">
        <v>55</v>
      </c>
      <c r="G43" t="str">
        <f>VLOOKUP(Sheet1!A43,Sheet2!$A$1:$B$76, 2, )</f>
        <v>matched</v>
      </c>
      <c r="K43" s="5"/>
      <c r="L43" s="4"/>
      <c r="M43" s="4"/>
    </row>
    <row r="44" spans="1:13">
      <c r="A44" s="1" t="s">
        <v>36</v>
      </c>
      <c r="B44" s="2" t="s">
        <v>41</v>
      </c>
      <c r="C44" s="2" t="s">
        <v>46</v>
      </c>
      <c r="D44" s="2" t="s">
        <v>55</v>
      </c>
      <c r="E44" s="9" t="s">
        <v>55</v>
      </c>
      <c r="F44" t="s">
        <v>55</v>
      </c>
      <c r="G44" t="str">
        <f>VLOOKUP(Sheet1!A44,Sheet2!$A$1:$B$76, 2, )</f>
        <v>matched</v>
      </c>
      <c r="K44" s="5"/>
      <c r="L44" s="4"/>
      <c r="M44" s="4"/>
    </row>
    <row r="45" spans="1:13">
      <c r="A45" s="1" t="s">
        <v>37</v>
      </c>
      <c r="B45" s="2" t="s">
        <v>40</v>
      </c>
      <c r="C45" s="2" t="s">
        <v>45</v>
      </c>
      <c r="D45" s="2" t="s">
        <v>55</v>
      </c>
      <c r="E45" s="9" t="s">
        <v>55</v>
      </c>
      <c r="F45" t="s">
        <v>55</v>
      </c>
      <c r="G45" t="str">
        <f>VLOOKUP(Sheet1!A45,Sheet2!$A$1:$B$76, 2, )</f>
        <v>matched</v>
      </c>
      <c r="K45" s="5"/>
      <c r="L45" s="4"/>
      <c r="M45" s="4"/>
    </row>
    <row r="46" spans="1:13">
      <c r="A46" s="1" t="s">
        <v>37</v>
      </c>
      <c r="B46" s="2" t="s">
        <v>40</v>
      </c>
      <c r="C46" s="2" t="s">
        <v>45</v>
      </c>
      <c r="D46" s="2" t="s">
        <v>55</v>
      </c>
      <c r="E46" s="9" t="s">
        <v>55</v>
      </c>
      <c r="F46" t="s">
        <v>55</v>
      </c>
      <c r="G46" t="str">
        <f>VLOOKUP(Sheet1!A46,Sheet2!$A$1:$B$76, 2, )</f>
        <v>matched</v>
      </c>
      <c r="K46" s="5"/>
      <c r="L46" s="4"/>
      <c r="M46" s="4"/>
    </row>
    <row r="47" spans="1:13">
      <c r="A47" s="1" t="s">
        <v>20</v>
      </c>
      <c r="B47" s="2" t="s">
        <v>40</v>
      </c>
      <c r="C47" s="2" t="s">
        <v>45</v>
      </c>
      <c r="D47" s="2" t="s">
        <v>55</v>
      </c>
      <c r="E47" s="9" t="s">
        <v>55</v>
      </c>
      <c r="F47" t="s">
        <v>55</v>
      </c>
      <c r="G47" t="str">
        <f>VLOOKUP(Sheet1!A47,Sheet2!$A$1:$B$76, 2, )</f>
        <v>matched</v>
      </c>
      <c r="K47" s="5"/>
      <c r="L47" s="4"/>
      <c r="M47" s="4"/>
    </row>
    <row r="48" spans="1:13">
      <c r="A48" s="1" t="s">
        <v>21</v>
      </c>
      <c r="B48" s="2" t="s">
        <v>40</v>
      </c>
      <c r="C48" s="2" t="s">
        <v>45</v>
      </c>
      <c r="D48" s="2" t="s">
        <v>56</v>
      </c>
      <c r="E48" s="9" t="s">
        <v>56</v>
      </c>
      <c r="F48" t="s">
        <v>56</v>
      </c>
      <c r="G48" t="str">
        <f>VLOOKUP(Sheet1!A48,Sheet2!$A$1:$B$76, 2, )</f>
        <v>partially_matched</v>
      </c>
      <c r="K48" s="5"/>
      <c r="L48" s="4"/>
      <c r="M48" s="4"/>
    </row>
    <row r="49" spans="1:13">
      <c r="A49" s="6" t="s">
        <v>21</v>
      </c>
      <c r="B49" s="3" t="s">
        <v>42</v>
      </c>
      <c r="C49" s="3" t="s">
        <v>47</v>
      </c>
      <c r="D49" s="3" t="s">
        <v>56</v>
      </c>
      <c r="E49" s="10" t="s">
        <v>56</v>
      </c>
      <c r="F49" s="7" t="s">
        <v>56</v>
      </c>
      <c r="G49" t="str">
        <f>VLOOKUP(Sheet1!A49,Sheet2!$A$1:$B$76, 2, )</f>
        <v>partially_matched</v>
      </c>
      <c r="K49" s="5"/>
      <c r="L49" s="4"/>
      <c r="M49" s="4"/>
    </row>
    <row r="50" spans="1:13">
      <c r="A50" s="1" t="s">
        <v>22</v>
      </c>
      <c r="B50" s="2" t="s">
        <v>41</v>
      </c>
      <c r="C50" s="2" t="s">
        <v>46</v>
      </c>
      <c r="D50" s="2" t="s">
        <v>55</v>
      </c>
      <c r="E50" s="9" t="s">
        <v>55</v>
      </c>
      <c r="F50" t="s">
        <v>55</v>
      </c>
      <c r="G50" t="str">
        <f>VLOOKUP(Sheet1!A50,Sheet2!$A$1:$B$76, 2, )</f>
        <v>matched</v>
      </c>
      <c r="K50" s="5"/>
      <c r="L50" s="4"/>
      <c r="M50" s="4"/>
    </row>
    <row r="51" spans="1:13">
      <c r="A51" s="1" t="s">
        <v>23</v>
      </c>
      <c r="B51" s="2" t="s">
        <v>40</v>
      </c>
      <c r="C51" s="2" t="s">
        <v>45</v>
      </c>
      <c r="D51" s="2" t="s">
        <v>55</v>
      </c>
      <c r="E51" s="9" t="s">
        <v>55</v>
      </c>
      <c r="F51" t="s">
        <v>55</v>
      </c>
      <c r="G51" t="str">
        <f>VLOOKUP(Sheet1!A51,Sheet2!$A$1:$B$76, 2, )</f>
        <v>matched</v>
      </c>
      <c r="K51" s="5"/>
      <c r="L51" s="4"/>
      <c r="M51" s="4"/>
    </row>
    <row r="52" spans="1:13">
      <c r="A52" s="1" t="s">
        <v>23</v>
      </c>
      <c r="B52" s="2" t="s">
        <v>40</v>
      </c>
      <c r="C52" s="2" t="s">
        <v>45</v>
      </c>
      <c r="D52" s="2" t="s">
        <v>55</v>
      </c>
      <c r="E52" s="9" t="s">
        <v>55</v>
      </c>
      <c r="F52" t="s">
        <v>55</v>
      </c>
      <c r="G52" t="str">
        <f>VLOOKUP(Sheet1!A52,Sheet2!$A$1:$B$76, 2, )</f>
        <v>matched</v>
      </c>
      <c r="K52" s="5"/>
      <c r="L52" s="4"/>
      <c r="M52" s="4"/>
    </row>
    <row r="53" spans="1:13">
      <c r="A53" s="1" t="s">
        <v>24</v>
      </c>
      <c r="B53" s="2" t="s">
        <v>41</v>
      </c>
      <c r="C53" s="2" t="s">
        <v>46</v>
      </c>
      <c r="D53" s="2" t="s">
        <v>55</v>
      </c>
      <c r="E53" s="9" t="s">
        <v>55</v>
      </c>
      <c r="F53" t="s">
        <v>55</v>
      </c>
      <c r="G53" t="str">
        <f>VLOOKUP(Sheet1!A53,Sheet2!$A$1:$B$76, 2, )</f>
        <v>matched</v>
      </c>
      <c r="K53" s="5"/>
      <c r="L53" s="4"/>
      <c r="M53" s="4"/>
    </row>
    <row r="54" spans="1:13">
      <c r="A54" s="1" t="s">
        <v>25</v>
      </c>
      <c r="B54" s="2" t="s">
        <v>40</v>
      </c>
      <c r="C54" s="2" t="s">
        <v>45</v>
      </c>
      <c r="D54" s="2" t="s">
        <v>55</v>
      </c>
      <c r="E54" s="9" t="s">
        <v>55</v>
      </c>
      <c r="F54" t="s">
        <v>55</v>
      </c>
      <c r="G54" t="str">
        <f>VLOOKUP(Sheet1!A54,Sheet2!$A$1:$B$76, 2, )</f>
        <v>matched</v>
      </c>
      <c r="K54" s="5"/>
      <c r="L54" s="4"/>
      <c r="M54" s="4"/>
    </row>
    <row r="55" spans="1:13">
      <c r="A55" s="1" t="s">
        <v>26</v>
      </c>
      <c r="B55" s="2" t="s">
        <v>40</v>
      </c>
      <c r="C55" s="2" t="s">
        <v>45</v>
      </c>
      <c r="D55" s="2" t="s">
        <v>55</v>
      </c>
      <c r="E55" s="9" t="s">
        <v>55</v>
      </c>
      <c r="F55" t="s">
        <v>55</v>
      </c>
      <c r="G55" t="str">
        <f>VLOOKUP(Sheet1!A55,Sheet2!$A$1:$B$76, 2, )</f>
        <v>matched</v>
      </c>
      <c r="K55" s="5"/>
      <c r="L55" s="4"/>
      <c r="M55" s="4"/>
    </row>
    <row r="56" spans="1:13">
      <c r="A56" s="1" t="s">
        <v>27</v>
      </c>
      <c r="B56" s="2" t="s">
        <v>40</v>
      </c>
      <c r="C56" s="2" t="s">
        <v>45</v>
      </c>
      <c r="D56" s="2" t="s">
        <v>55</v>
      </c>
      <c r="E56" s="9" t="s">
        <v>55</v>
      </c>
      <c r="F56" t="s">
        <v>55</v>
      </c>
      <c r="G56" t="str">
        <f>VLOOKUP(Sheet1!A56,Sheet2!$A$1:$B$76, 2, )</f>
        <v>matched</v>
      </c>
      <c r="K56" s="5"/>
      <c r="L56" s="4"/>
      <c r="M56" s="4"/>
    </row>
    <row r="57" spans="1:13">
      <c r="A57" s="6" t="s">
        <v>28</v>
      </c>
      <c r="B57" s="3" t="s">
        <v>43</v>
      </c>
      <c r="C57" s="3" t="s">
        <v>48</v>
      </c>
      <c r="D57" s="3" t="s">
        <v>55</v>
      </c>
      <c r="E57" s="10" t="s">
        <v>55</v>
      </c>
      <c r="F57" s="7" t="s">
        <v>57</v>
      </c>
      <c r="G57" t="str">
        <f>VLOOKUP(Sheet1!A57,Sheet2!$A$1:$B$76, 2, )</f>
        <v>matched</v>
      </c>
      <c r="K57" s="5"/>
      <c r="L57" s="4"/>
      <c r="M57" s="4"/>
    </row>
    <row r="58" spans="1:13">
      <c r="A58" s="6" t="s">
        <v>29</v>
      </c>
      <c r="B58" s="3" t="s">
        <v>43</v>
      </c>
      <c r="C58" s="3" t="s">
        <v>48</v>
      </c>
      <c r="D58" s="3" t="s">
        <v>55</v>
      </c>
      <c r="E58" s="10" t="s">
        <v>55</v>
      </c>
      <c r="F58" s="7" t="s">
        <v>57</v>
      </c>
      <c r="G58" t="str">
        <f>VLOOKUP(Sheet1!A58,Sheet2!$A$1:$B$76, 2, )</f>
        <v>matched</v>
      </c>
      <c r="K58" s="5"/>
      <c r="L58" s="4"/>
      <c r="M58" s="4"/>
    </row>
    <row r="59" spans="1:13">
      <c r="A59" s="5" t="s">
        <v>59</v>
      </c>
      <c r="B59" s="2" t="s">
        <v>40</v>
      </c>
      <c r="C59" s="2" t="s">
        <v>45</v>
      </c>
      <c r="D59" s="2" t="s">
        <v>55</v>
      </c>
      <c r="E59" s="9" t="s">
        <v>55</v>
      </c>
      <c r="F59" t="s">
        <v>55</v>
      </c>
      <c r="G59" t="str">
        <f>VLOOKUP(Sheet1!A59,Sheet2!$A$1:$B$76, 2, )</f>
        <v>matched</v>
      </c>
      <c r="K59" s="5"/>
      <c r="L59" s="4"/>
      <c r="M59" s="4"/>
    </row>
    <row r="60" spans="1:13">
      <c r="A60" s="5" t="s">
        <v>60</v>
      </c>
      <c r="B60" s="2" t="s">
        <v>40</v>
      </c>
      <c r="C60" s="2" t="s">
        <v>45</v>
      </c>
      <c r="D60" s="2" t="s">
        <v>55</v>
      </c>
      <c r="E60" s="9" t="s">
        <v>55</v>
      </c>
      <c r="F60" t="s">
        <v>56</v>
      </c>
      <c r="G60" t="str">
        <f>VLOOKUP(Sheet1!A60,Sheet2!$A$1:$B$76, 2, )</f>
        <v>matched</v>
      </c>
      <c r="K60" s="5"/>
      <c r="L60" s="4"/>
      <c r="M60" s="4"/>
    </row>
    <row r="61" spans="1:13">
      <c r="A61" s="5" t="s">
        <v>60</v>
      </c>
      <c r="B61" s="2" t="s">
        <v>40</v>
      </c>
      <c r="C61" s="2" t="s">
        <v>45</v>
      </c>
      <c r="D61" s="2" t="s">
        <v>55</v>
      </c>
      <c r="E61" s="9" t="s">
        <v>55</v>
      </c>
      <c r="F61" t="s">
        <v>56</v>
      </c>
      <c r="G61" t="str">
        <f>VLOOKUP(Sheet1!A61,Sheet2!$A$1:$B$76, 2, )</f>
        <v>matched</v>
      </c>
      <c r="K61" s="5"/>
      <c r="L61" s="4"/>
      <c r="M61" s="4"/>
    </row>
    <row r="62" spans="1:13">
      <c r="A62" s="5" t="s">
        <v>60</v>
      </c>
      <c r="B62" s="2" t="s">
        <v>40</v>
      </c>
      <c r="C62" s="2" t="s">
        <v>45</v>
      </c>
      <c r="D62" s="2" t="s">
        <v>55</v>
      </c>
      <c r="E62" s="9" t="s">
        <v>55</v>
      </c>
      <c r="F62" t="s">
        <v>56</v>
      </c>
      <c r="G62" t="str">
        <f>VLOOKUP(Sheet1!A62,Sheet2!$A$1:$B$76, 2, )</f>
        <v>matched</v>
      </c>
      <c r="K62" s="5"/>
      <c r="L62" s="4"/>
      <c r="M62" s="4"/>
    </row>
    <row r="63" spans="1:13">
      <c r="A63" s="5" t="s">
        <v>60</v>
      </c>
      <c r="B63" s="2" t="s">
        <v>40</v>
      </c>
      <c r="C63" s="2" t="s">
        <v>45</v>
      </c>
      <c r="D63" s="2" t="s">
        <v>55</v>
      </c>
      <c r="E63" s="9" t="s">
        <v>55</v>
      </c>
      <c r="F63" t="s">
        <v>56</v>
      </c>
      <c r="G63" t="str">
        <f>VLOOKUP(Sheet1!A63,Sheet2!$A$1:$B$76, 2, )</f>
        <v>matched</v>
      </c>
      <c r="K63" s="5"/>
      <c r="L63" s="4"/>
      <c r="M63" s="4"/>
    </row>
    <row r="64" spans="1:13">
      <c r="A64" s="8" t="s">
        <v>61</v>
      </c>
      <c r="B64" s="3" t="s">
        <v>42</v>
      </c>
      <c r="C64" s="3" t="s">
        <v>47</v>
      </c>
      <c r="D64" s="3" t="s">
        <v>55</v>
      </c>
      <c r="E64" s="10" t="s">
        <v>55</v>
      </c>
      <c r="F64" s="7" t="s">
        <v>55</v>
      </c>
      <c r="G64" t="str">
        <f>VLOOKUP(Sheet1!A64,Sheet2!$A$1:$B$76, 2, )</f>
        <v>matched</v>
      </c>
      <c r="K64" s="5"/>
      <c r="L64" s="4"/>
      <c r="M64" s="4"/>
    </row>
    <row r="65" spans="1:13">
      <c r="A65" s="8" t="s">
        <v>61</v>
      </c>
      <c r="B65" s="3" t="s">
        <v>42</v>
      </c>
      <c r="C65" s="3" t="s">
        <v>47</v>
      </c>
      <c r="D65" s="3" t="s">
        <v>55</v>
      </c>
      <c r="E65" s="10" t="s">
        <v>55</v>
      </c>
      <c r="F65" s="7" t="s">
        <v>55</v>
      </c>
      <c r="G65" t="str">
        <f>VLOOKUP(Sheet1!A65,Sheet2!$A$1:$B$76, 2, )</f>
        <v>matched</v>
      </c>
      <c r="K65" s="5"/>
      <c r="L65" s="4"/>
      <c r="M65" s="4"/>
    </row>
    <row r="66" spans="1:13">
      <c r="A66" s="5" t="s">
        <v>62</v>
      </c>
      <c r="B66" s="2" t="s">
        <v>40</v>
      </c>
      <c r="C66" s="2" t="s">
        <v>45</v>
      </c>
      <c r="D66" s="2" t="s">
        <v>55</v>
      </c>
      <c r="E66" s="9" t="s">
        <v>55</v>
      </c>
      <c r="F66" t="s">
        <v>55</v>
      </c>
      <c r="G66" t="str">
        <f>VLOOKUP(Sheet1!A66,Sheet2!$A$1:$B$76, 2, )</f>
        <v>matched</v>
      </c>
      <c r="K66" s="5"/>
      <c r="L66" s="4"/>
      <c r="M66" s="4"/>
    </row>
    <row r="67" spans="1:13">
      <c r="A67" s="5" t="s">
        <v>63</v>
      </c>
      <c r="B67" s="2" t="s">
        <v>40</v>
      </c>
      <c r="C67" s="2" t="s">
        <v>45</v>
      </c>
      <c r="D67" s="2" t="s">
        <v>55</v>
      </c>
      <c r="E67" s="9" t="s">
        <v>55</v>
      </c>
      <c r="F67" t="s">
        <v>57</v>
      </c>
      <c r="G67" t="str">
        <f>VLOOKUP(Sheet1!A67,Sheet2!$A$1:$B$76, 2, )</f>
        <v>matched</v>
      </c>
      <c r="K67" s="5"/>
      <c r="L67" s="4"/>
      <c r="M67" s="4"/>
    </row>
    <row r="68" spans="1:13">
      <c r="A68" s="5" t="s">
        <v>63</v>
      </c>
      <c r="B68" s="2" t="s">
        <v>40</v>
      </c>
      <c r="C68" s="2" t="s">
        <v>45</v>
      </c>
      <c r="D68" s="2" t="s">
        <v>55</v>
      </c>
      <c r="E68" s="9" t="s">
        <v>55</v>
      </c>
      <c r="F68" t="s">
        <v>57</v>
      </c>
      <c r="G68" t="str">
        <f>VLOOKUP(Sheet1!A68,Sheet2!$A$1:$B$76, 2, )</f>
        <v>matched</v>
      </c>
      <c r="K68" s="5"/>
      <c r="L68" s="4"/>
      <c r="M68" s="4"/>
    </row>
    <row r="69" spans="1:13">
      <c r="A69" s="5" t="s">
        <v>64</v>
      </c>
      <c r="B69" s="2" t="s">
        <v>40</v>
      </c>
      <c r="C69" s="2" t="s">
        <v>45</v>
      </c>
      <c r="D69" s="2" t="s">
        <v>55</v>
      </c>
      <c r="E69" s="9" t="s">
        <v>55</v>
      </c>
      <c r="F69" t="s">
        <v>55</v>
      </c>
      <c r="G69" t="str">
        <f>VLOOKUP(Sheet1!A69,Sheet2!$A$1:$B$76, 2, )</f>
        <v>matched</v>
      </c>
      <c r="K69" s="5"/>
      <c r="L69" s="4"/>
      <c r="M69" s="4"/>
    </row>
    <row r="70" spans="1:13">
      <c r="A70" s="5" t="s">
        <v>66</v>
      </c>
      <c r="B70" s="2" t="s">
        <v>40</v>
      </c>
      <c r="C70" s="2" t="s">
        <v>45</v>
      </c>
      <c r="D70" s="2" t="s">
        <v>55</v>
      </c>
      <c r="E70" s="9" t="s">
        <v>55</v>
      </c>
      <c r="F70" t="s">
        <v>55</v>
      </c>
      <c r="G70" t="str">
        <f>VLOOKUP(Sheet1!A70,Sheet2!$A$1:$B$76, 2, )</f>
        <v>matched</v>
      </c>
      <c r="K70" s="5"/>
      <c r="L70" s="4"/>
      <c r="M70" s="4"/>
    </row>
    <row r="71" spans="1:13">
      <c r="A71" s="5" t="s">
        <v>67</v>
      </c>
      <c r="B71" s="2" t="s">
        <v>40</v>
      </c>
      <c r="C71" s="2" t="s">
        <v>45</v>
      </c>
      <c r="D71" s="2" t="s">
        <v>55</v>
      </c>
      <c r="E71" s="9" t="s">
        <v>55</v>
      </c>
      <c r="F71" t="s">
        <v>55</v>
      </c>
      <c r="G71" t="str">
        <f>VLOOKUP(Sheet1!A71,Sheet2!$A$1:$B$76, 2, )</f>
        <v>matched</v>
      </c>
      <c r="K71" s="5"/>
      <c r="L71" s="4"/>
      <c r="M71" s="4"/>
    </row>
    <row r="72" spans="1:13">
      <c r="A72" s="5" t="s">
        <v>68</v>
      </c>
      <c r="B72" s="2" t="s">
        <v>41</v>
      </c>
      <c r="C72" s="2" t="s">
        <v>46</v>
      </c>
      <c r="D72" s="2" t="s">
        <v>55</v>
      </c>
      <c r="E72" s="9" t="s">
        <v>55</v>
      </c>
      <c r="F72" t="s">
        <v>55</v>
      </c>
      <c r="G72" t="str">
        <f>VLOOKUP(Sheet1!A72,Sheet2!$A$1:$B$76, 2, )</f>
        <v>matched</v>
      </c>
      <c r="K72" s="5"/>
      <c r="L72" s="4"/>
      <c r="M72" s="4"/>
    </row>
    <row r="73" spans="1:13">
      <c r="A73" s="5" t="s">
        <v>69</v>
      </c>
      <c r="B73" s="2" t="s">
        <v>41</v>
      </c>
      <c r="C73" s="2" t="s">
        <v>46</v>
      </c>
      <c r="D73" s="2" t="s">
        <v>55</v>
      </c>
      <c r="E73" s="9" t="s">
        <v>57</v>
      </c>
      <c r="F73" t="s">
        <v>55</v>
      </c>
      <c r="G73" t="str">
        <f>VLOOKUP(Sheet1!A73,Sheet2!$A$1:$B$76, 2, )</f>
        <v>matched</v>
      </c>
      <c r="K73" s="5"/>
      <c r="L73" s="4"/>
      <c r="M73" s="4"/>
    </row>
    <row r="74" spans="1:13">
      <c r="A74" s="5" t="s">
        <v>70</v>
      </c>
      <c r="B74" s="2" t="s">
        <v>40</v>
      </c>
      <c r="C74" s="2" t="s">
        <v>45</v>
      </c>
      <c r="D74" s="2" t="s">
        <v>55</v>
      </c>
      <c r="E74" s="9" t="s">
        <v>55</v>
      </c>
      <c r="F74" t="s">
        <v>55</v>
      </c>
      <c r="G74" t="str">
        <f>VLOOKUP(Sheet1!A74,Sheet2!$A$1:$B$76, 2, )</f>
        <v>matched</v>
      </c>
      <c r="K74" s="5"/>
      <c r="L74" s="4"/>
      <c r="M74" s="4"/>
    </row>
    <row r="75" spans="1:13">
      <c r="A75" s="5" t="s">
        <v>71</v>
      </c>
      <c r="B75" s="2" t="s">
        <v>40</v>
      </c>
      <c r="C75" s="2" t="s">
        <v>45</v>
      </c>
      <c r="D75" s="2" t="s">
        <v>55</v>
      </c>
      <c r="E75" s="9" t="s">
        <v>55</v>
      </c>
      <c r="F75" t="s">
        <v>55</v>
      </c>
      <c r="G75" t="str">
        <f>VLOOKUP(Sheet1!A75,Sheet2!$A$1:$B$76, 2, )</f>
        <v>matched</v>
      </c>
      <c r="K75" s="5"/>
      <c r="L75" s="4"/>
      <c r="M75" s="4"/>
    </row>
    <row r="76" spans="1:13">
      <c r="A76" s="5" t="s">
        <v>72</v>
      </c>
      <c r="B76" s="2" t="s">
        <v>40</v>
      </c>
      <c r="C76" s="2" t="s">
        <v>45</v>
      </c>
      <c r="D76" s="2" t="s">
        <v>55</v>
      </c>
      <c r="E76" s="9" t="s">
        <v>55</v>
      </c>
      <c r="F76" t="s">
        <v>55</v>
      </c>
      <c r="G76" t="str">
        <f>VLOOKUP(Sheet1!A76,Sheet2!$A$1:$B$76, 2, )</f>
        <v>matched</v>
      </c>
      <c r="K76" s="5"/>
      <c r="L76" s="4"/>
      <c r="M76" s="4"/>
    </row>
    <row r="77" spans="1:13">
      <c r="A77" s="8" t="s">
        <v>74</v>
      </c>
      <c r="B77" s="3" t="s">
        <v>42</v>
      </c>
      <c r="C77" s="3" t="s">
        <v>47</v>
      </c>
      <c r="D77" s="3" t="s">
        <v>55</v>
      </c>
      <c r="E77" s="10" t="s">
        <v>55</v>
      </c>
      <c r="F77" s="7" t="s">
        <v>55</v>
      </c>
      <c r="G77" t="str">
        <f>VLOOKUP(Sheet1!A77,Sheet2!$A$1:$B$76, 2, )</f>
        <v>matched</v>
      </c>
      <c r="K77" s="5"/>
      <c r="L77" s="4"/>
      <c r="M77" s="4"/>
    </row>
    <row r="78" spans="1:13">
      <c r="A78" s="5" t="s">
        <v>75</v>
      </c>
      <c r="B78" s="2" t="s">
        <v>40</v>
      </c>
      <c r="C78" s="2" t="s">
        <v>45</v>
      </c>
      <c r="D78" s="2" t="s">
        <v>55</v>
      </c>
      <c r="E78" t="s">
        <v>55</v>
      </c>
      <c r="F78" t="s">
        <v>56</v>
      </c>
      <c r="G78" t="str">
        <f>VLOOKUP(Sheet1!A78,Sheet2!$A$1:$B$76, 2, )</f>
        <v>matched</v>
      </c>
    </row>
    <row r="79" spans="1:13">
      <c r="A79" s="5" t="s">
        <v>76</v>
      </c>
      <c r="B79" s="2" t="s">
        <v>41</v>
      </c>
      <c r="C79" s="2" t="s">
        <v>46</v>
      </c>
      <c r="D79" s="2" t="s">
        <v>55</v>
      </c>
      <c r="E79" t="s">
        <v>55</v>
      </c>
      <c r="F79" t="s">
        <v>55</v>
      </c>
      <c r="G79" t="str">
        <f>VLOOKUP(Sheet1!A79,Sheet2!$A$1:$B$76, 2, )</f>
        <v>matched</v>
      </c>
    </row>
    <row r="80" spans="1:13">
      <c r="A80" s="5" t="s">
        <v>76</v>
      </c>
      <c r="B80" s="2" t="s">
        <v>49</v>
      </c>
      <c r="C80" s="2" t="s">
        <v>50</v>
      </c>
      <c r="D80" s="2" t="s">
        <v>55</v>
      </c>
      <c r="E80" t="s">
        <v>55</v>
      </c>
      <c r="F80" t="s">
        <v>55</v>
      </c>
      <c r="G80" t="str">
        <f>VLOOKUP(Sheet1!A80,Sheet2!$A$1:$B$76, 2, )</f>
        <v>matched</v>
      </c>
    </row>
    <row r="81" spans="1:7">
      <c r="A81" s="8" t="s">
        <v>77</v>
      </c>
      <c r="B81" s="3" t="s">
        <v>42</v>
      </c>
      <c r="C81" s="3" t="s">
        <v>47</v>
      </c>
      <c r="D81" s="3" t="s">
        <v>55</v>
      </c>
      <c r="E81" s="7" t="s">
        <v>55</v>
      </c>
      <c r="F81" s="7" t="s">
        <v>57</v>
      </c>
      <c r="G81" t="str">
        <f>VLOOKUP(Sheet1!A81,Sheet2!$A$1:$B$76, 2, )</f>
        <v>matched</v>
      </c>
    </row>
    <row r="82" spans="1:7">
      <c r="A82" s="5" t="s">
        <v>78</v>
      </c>
      <c r="B82" s="2" t="s">
        <v>40</v>
      </c>
      <c r="C82" s="2" t="s">
        <v>45</v>
      </c>
      <c r="D82" s="2" t="s">
        <v>55</v>
      </c>
      <c r="E82" t="s">
        <v>55</v>
      </c>
      <c r="F82" t="s">
        <v>55</v>
      </c>
      <c r="G82" t="str">
        <f>VLOOKUP(Sheet1!A82,Sheet2!$A$1:$B$76, 2, )</f>
        <v>matched</v>
      </c>
    </row>
    <row r="83" spans="1:7">
      <c r="A83" s="8" t="s">
        <v>79</v>
      </c>
      <c r="B83" s="3" t="s">
        <v>42</v>
      </c>
      <c r="C83" s="3" t="s">
        <v>47</v>
      </c>
      <c r="D83" s="3" t="s">
        <v>55</v>
      </c>
      <c r="E83" s="7" t="s">
        <v>57</v>
      </c>
      <c r="F83" s="7" t="s">
        <v>57</v>
      </c>
      <c r="G83" t="str">
        <f>VLOOKUP(Sheet1!A83,Sheet2!$A$1:$B$76, 2, )</f>
        <v>matched</v>
      </c>
    </row>
    <row r="84" spans="1:7">
      <c r="A84" s="8" t="s">
        <v>80</v>
      </c>
      <c r="B84" s="3" t="s">
        <v>42</v>
      </c>
      <c r="C84" s="3" t="s">
        <v>47</v>
      </c>
      <c r="D84" s="3" t="s">
        <v>55</v>
      </c>
      <c r="E84" s="7" t="s">
        <v>57</v>
      </c>
      <c r="F84" s="7" t="s">
        <v>57</v>
      </c>
      <c r="G84" t="str">
        <f>VLOOKUP(Sheet1!A84,Sheet2!$A$1:$B$76, 2, )</f>
        <v>matched</v>
      </c>
    </row>
    <row r="85" spans="1:7">
      <c r="A85" s="5" t="s">
        <v>81</v>
      </c>
      <c r="B85" s="2" t="s">
        <v>40</v>
      </c>
      <c r="C85" s="2" t="s">
        <v>45</v>
      </c>
      <c r="D85" s="2" t="s">
        <v>55</v>
      </c>
      <c r="E85" t="s">
        <v>55</v>
      </c>
      <c r="F85" t="s">
        <v>55</v>
      </c>
      <c r="G85" t="str">
        <f>VLOOKUP(Sheet1!A85,Sheet2!$A$1:$B$76, 2, )</f>
        <v>matched</v>
      </c>
    </row>
    <row r="86" spans="1:7">
      <c r="A86" s="5" t="s">
        <v>82</v>
      </c>
      <c r="B86" s="2" t="s">
        <v>40</v>
      </c>
      <c r="C86" s="2" t="s">
        <v>45</v>
      </c>
      <c r="D86" s="2" t="s">
        <v>55</v>
      </c>
      <c r="E86" t="s">
        <v>55</v>
      </c>
      <c r="F86" t="s">
        <v>55</v>
      </c>
      <c r="G86" t="str">
        <f>VLOOKUP(Sheet1!A86,Sheet2!$A$1:$B$76, 2, )</f>
        <v>matched</v>
      </c>
    </row>
    <row r="87" spans="1:7">
      <c r="A87" s="5" t="s">
        <v>83</v>
      </c>
      <c r="B87" s="2" t="s">
        <v>51</v>
      </c>
      <c r="C87" s="2" t="s">
        <v>52</v>
      </c>
      <c r="D87" s="2" t="s">
        <v>55</v>
      </c>
      <c r="E87" t="s">
        <v>55</v>
      </c>
      <c r="F87" t="s">
        <v>55</v>
      </c>
      <c r="G87" t="str">
        <f>VLOOKUP(Sheet1!A87,Sheet2!$A$1:$B$76, 2, )</f>
        <v>matched</v>
      </c>
    </row>
    <row r="88" spans="1:7">
      <c r="A88" s="5" t="s">
        <v>85</v>
      </c>
      <c r="B88" s="2" t="s">
        <v>40</v>
      </c>
      <c r="C88" s="2" t="s">
        <v>45</v>
      </c>
      <c r="D88" s="2" t="s">
        <v>55</v>
      </c>
      <c r="E88" t="s">
        <v>55</v>
      </c>
      <c r="F88" t="s">
        <v>55</v>
      </c>
      <c r="G88" t="str">
        <f>VLOOKUP(Sheet1!A88,Sheet2!$A$1:$B$76, 2, )</f>
        <v>matched</v>
      </c>
    </row>
    <row r="89" spans="1:7">
      <c r="A89" s="5" t="s">
        <v>86</v>
      </c>
      <c r="B89" s="2" t="s">
        <v>40</v>
      </c>
      <c r="C89" s="2" t="s">
        <v>45</v>
      </c>
      <c r="D89" s="2" t="s">
        <v>55</v>
      </c>
      <c r="E89" t="s">
        <v>55</v>
      </c>
      <c r="F89" t="s">
        <v>55</v>
      </c>
      <c r="G89" t="str">
        <f>VLOOKUP(Sheet1!A89,Sheet2!$A$1:$B$76, 2, )</f>
        <v>matched</v>
      </c>
    </row>
    <row r="90" spans="1:7">
      <c r="A90" s="5" t="s">
        <v>86</v>
      </c>
      <c r="B90" s="2" t="s">
        <v>40</v>
      </c>
      <c r="C90" s="2" t="s">
        <v>45</v>
      </c>
      <c r="D90" s="2" t="s">
        <v>55</v>
      </c>
      <c r="E90" t="s">
        <v>55</v>
      </c>
      <c r="F90" t="s">
        <v>55</v>
      </c>
      <c r="G90" t="str">
        <f>VLOOKUP(Sheet1!A90,Sheet2!$A$1:$B$76, 2, )</f>
        <v>matched</v>
      </c>
    </row>
    <row r="91" spans="1:7">
      <c r="A91" s="5" t="s">
        <v>87</v>
      </c>
      <c r="B91" s="2" t="s">
        <v>40</v>
      </c>
      <c r="C91" s="2" t="s">
        <v>45</v>
      </c>
      <c r="D91" s="2" t="s">
        <v>55</v>
      </c>
      <c r="E91" t="s">
        <v>55</v>
      </c>
      <c r="F91" t="s">
        <v>55</v>
      </c>
      <c r="G91" t="str">
        <f>VLOOKUP(Sheet1!A91,Sheet2!$A$1:$B$76, 2, )</f>
        <v>matched</v>
      </c>
    </row>
    <row r="92" spans="1:7">
      <c r="A92" s="5" t="s">
        <v>88</v>
      </c>
      <c r="B92" s="2" t="s">
        <v>40</v>
      </c>
      <c r="C92" s="2" t="s">
        <v>45</v>
      </c>
      <c r="D92" s="2" t="s">
        <v>55</v>
      </c>
      <c r="E92" t="s">
        <v>55</v>
      </c>
      <c r="F92" t="s">
        <v>55</v>
      </c>
      <c r="G92" t="str">
        <f>VLOOKUP(Sheet1!A92,Sheet2!$A$1:$B$76, 2, )</f>
        <v>matched</v>
      </c>
    </row>
    <row r="93" spans="1:7">
      <c r="A93" s="5" t="s">
        <v>89</v>
      </c>
      <c r="B93" s="2" t="s">
        <v>40</v>
      </c>
      <c r="C93" s="2" t="s">
        <v>45</v>
      </c>
      <c r="D93" s="2" t="s">
        <v>55</v>
      </c>
      <c r="E93" t="s">
        <v>55</v>
      </c>
      <c r="F93" t="s">
        <v>55</v>
      </c>
      <c r="G93" t="str">
        <f>VLOOKUP(Sheet1!A93,Sheet2!$A$1:$B$76, 2, )</f>
        <v>matched</v>
      </c>
    </row>
    <row r="94" spans="1:7">
      <c r="A94" s="5" t="s">
        <v>89</v>
      </c>
      <c r="B94" s="2" t="s">
        <v>40</v>
      </c>
      <c r="C94" s="2" t="s">
        <v>45</v>
      </c>
      <c r="D94" s="2" t="s">
        <v>55</v>
      </c>
      <c r="E94" t="s">
        <v>55</v>
      </c>
      <c r="F94" t="s">
        <v>55</v>
      </c>
      <c r="G94" t="str">
        <f>VLOOKUP(Sheet1!A94,Sheet2!$A$1:$B$76, 2, )</f>
        <v>matched</v>
      </c>
    </row>
    <row r="95" spans="1:7">
      <c r="A95" s="5" t="s">
        <v>90</v>
      </c>
      <c r="B95" s="2" t="s">
        <v>40</v>
      </c>
      <c r="C95" s="2" t="s">
        <v>45</v>
      </c>
      <c r="D95" s="2" t="s">
        <v>55</v>
      </c>
      <c r="E95" t="s">
        <v>55</v>
      </c>
      <c r="F95" t="s">
        <v>55</v>
      </c>
      <c r="G95" t="str">
        <f>VLOOKUP(Sheet1!A95,Sheet2!$A$1:$B$76, 2, )</f>
        <v>matched</v>
      </c>
    </row>
    <row r="96" spans="1:7">
      <c r="A96" s="5" t="s">
        <v>91</v>
      </c>
      <c r="B96" s="2" t="s">
        <v>51</v>
      </c>
      <c r="C96" s="2" t="s">
        <v>52</v>
      </c>
      <c r="D96" s="2" t="s">
        <v>55</v>
      </c>
      <c r="E96" t="s">
        <v>55</v>
      </c>
      <c r="F96" t="s">
        <v>56</v>
      </c>
      <c r="G96" t="str">
        <f>VLOOKUP(Sheet1!A96,Sheet2!$A$1:$B$76, 2, )</f>
        <v>matched</v>
      </c>
    </row>
    <row r="97" spans="1:7">
      <c r="A97" s="5" t="s">
        <v>91</v>
      </c>
      <c r="B97" s="2" t="s">
        <v>51</v>
      </c>
      <c r="C97" s="2" t="s">
        <v>52</v>
      </c>
      <c r="D97" s="2" t="s">
        <v>55</v>
      </c>
      <c r="E97" t="s">
        <v>55</v>
      </c>
      <c r="F97" t="s">
        <v>56</v>
      </c>
      <c r="G97" t="str">
        <f>VLOOKUP(Sheet1!A97,Sheet2!$A$1:$B$76, 2, )</f>
        <v>matched</v>
      </c>
    </row>
    <row r="98" spans="1:7">
      <c r="A98" s="5" t="s">
        <v>94</v>
      </c>
      <c r="B98" s="2" t="s">
        <v>51</v>
      </c>
      <c r="C98" s="2" t="s">
        <v>52</v>
      </c>
      <c r="D98" s="2" t="s">
        <v>55</v>
      </c>
      <c r="E98" t="s">
        <v>55</v>
      </c>
      <c r="F98" t="s">
        <v>55</v>
      </c>
      <c r="G98" t="str">
        <f>VLOOKUP(Sheet1!A98,Sheet2!$A$1:$B$76, 2, )</f>
        <v>matched</v>
      </c>
    </row>
    <row r="99" spans="1:7">
      <c r="A99" s="5" t="s">
        <v>95</v>
      </c>
      <c r="B99" s="2" t="s">
        <v>40</v>
      </c>
      <c r="C99" s="2" t="s">
        <v>45</v>
      </c>
      <c r="D99" s="2" t="s">
        <v>55</v>
      </c>
      <c r="E99" t="s">
        <v>55</v>
      </c>
      <c r="F99" t="s">
        <v>55</v>
      </c>
      <c r="G99" t="str">
        <f>VLOOKUP(Sheet1!A99,Sheet2!$A$1:$B$76, 2, )</f>
        <v>matched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93B2-490D-DA47-8218-D285E3978794}">
  <dimension ref="A1:B76"/>
  <sheetViews>
    <sheetView workbookViewId="0">
      <selection activeCell="B1" sqref="B1:B76"/>
    </sheetView>
  </sheetViews>
  <sheetFormatPr baseColWidth="10" defaultRowHeight="18"/>
  <cols>
    <col min="1" max="1" width="27.28515625" customWidth="1"/>
  </cols>
  <sheetData>
    <row r="1" spans="1:2">
      <c r="A1" s="2" t="s">
        <v>0</v>
      </c>
      <c r="B1" s="5" t="s">
        <v>55</v>
      </c>
    </row>
    <row r="2" spans="1:2">
      <c r="A2" s="2" t="s">
        <v>5</v>
      </c>
      <c r="B2" s="5" t="s">
        <v>55</v>
      </c>
    </row>
    <row r="3" spans="1:2">
      <c r="A3" s="2" t="s">
        <v>6</v>
      </c>
      <c r="B3" s="5" t="s">
        <v>55</v>
      </c>
    </row>
    <row r="4" spans="1:2">
      <c r="A4" s="2" t="s">
        <v>7</v>
      </c>
      <c r="B4" s="5" t="s">
        <v>55</v>
      </c>
    </row>
    <row r="5" spans="1:2">
      <c r="A5" s="2" t="s">
        <v>8</v>
      </c>
      <c r="B5" s="5" t="s">
        <v>55</v>
      </c>
    </row>
    <row r="6" spans="1:2">
      <c r="A6" s="2" t="s">
        <v>9</v>
      </c>
      <c r="B6" s="5" t="s">
        <v>55</v>
      </c>
    </row>
    <row r="7" spans="1:2">
      <c r="A7" s="2" t="s">
        <v>10</v>
      </c>
      <c r="B7" s="5" t="s">
        <v>55</v>
      </c>
    </row>
    <row r="8" spans="1:2">
      <c r="A8" s="2" t="s">
        <v>11</v>
      </c>
      <c r="B8" s="5" t="s">
        <v>55</v>
      </c>
    </row>
    <row r="9" spans="1:2">
      <c r="A9" s="2" t="s">
        <v>12</v>
      </c>
      <c r="B9" s="5" t="s">
        <v>55</v>
      </c>
    </row>
    <row r="10" spans="1:2">
      <c r="A10" s="2" t="s">
        <v>1</v>
      </c>
      <c r="B10" s="5" t="s">
        <v>55</v>
      </c>
    </row>
    <row r="11" spans="1:2">
      <c r="A11" s="2" t="s">
        <v>2</v>
      </c>
      <c r="B11" s="5" t="s">
        <v>55</v>
      </c>
    </row>
    <row r="12" spans="1:2">
      <c r="A12" s="2" t="s">
        <v>3</v>
      </c>
      <c r="B12" s="5" t="s">
        <v>55</v>
      </c>
    </row>
    <row r="13" spans="1:2">
      <c r="A13" s="2" t="s">
        <v>4</v>
      </c>
      <c r="B13" s="5" t="s">
        <v>55</v>
      </c>
    </row>
    <row r="14" spans="1:2">
      <c r="A14" s="2" t="s">
        <v>13</v>
      </c>
      <c r="B14" s="5" t="s">
        <v>55</v>
      </c>
    </row>
    <row r="15" spans="1:2">
      <c r="A15" s="2" t="s">
        <v>14</v>
      </c>
      <c r="B15" s="5" t="s">
        <v>55</v>
      </c>
    </row>
    <row r="16" spans="1:2">
      <c r="A16" s="2" t="s">
        <v>15</v>
      </c>
      <c r="B16" s="5" t="s">
        <v>55</v>
      </c>
    </row>
    <row r="17" spans="1:2">
      <c r="A17" s="2" t="s">
        <v>16</v>
      </c>
      <c r="B17" s="5" t="s">
        <v>55</v>
      </c>
    </row>
    <row r="18" spans="1:2">
      <c r="A18" s="2" t="s">
        <v>17</v>
      </c>
      <c r="B18" s="5" t="s">
        <v>55</v>
      </c>
    </row>
    <row r="19" spans="1:2">
      <c r="A19" s="2" t="s">
        <v>18</v>
      </c>
      <c r="B19" s="5" t="s">
        <v>56</v>
      </c>
    </row>
    <row r="20" spans="1:2">
      <c r="A20" s="2" t="s">
        <v>96</v>
      </c>
      <c r="B20" s="5" t="s">
        <v>55</v>
      </c>
    </row>
    <row r="21" spans="1:2">
      <c r="A21" s="2" t="s">
        <v>97</v>
      </c>
      <c r="B21" s="5" t="s">
        <v>55</v>
      </c>
    </row>
    <row r="22" spans="1:2">
      <c r="A22" s="2" t="s">
        <v>31</v>
      </c>
      <c r="B22" s="5" t="s">
        <v>55</v>
      </c>
    </row>
    <row r="23" spans="1:2">
      <c r="A23" s="2" t="s">
        <v>32</v>
      </c>
      <c r="B23" s="5" t="s">
        <v>55</v>
      </c>
    </row>
    <row r="24" spans="1:2">
      <c r="A24" s="2" t="s">
        <v>33</v>
      </c>
      <c r="B24" s="5" t="s">
        <v>56</v>
      </c>
    </row>
    <row r="25" spans="1:2">
      <c r="A25" s="2" t="s">
        <v>34</v>
      </c>
      <c r="B25" s="5" t="s">
        <v>55</v>
      </c>
    </row>
    <row r="26" spans="1:2">
      <c r="A26" s="2" t="s">
        <v>35</v>
      </c>
      <c r="B26" s="5" t="s">
        <v>55</v>
      </c>
    </row>
    <row r="27" spans="1:2">
      <c r="A27" s="2" t="s">
        <v>36</v>
      </c>
      <c r="B27" s="5" t="s">
        <v>55</v>
      </c>
    </row>
    <row r="28" spans="1:2">
      <c r="A28" s="2" t="s">
        <v>37</v>
      </c>
      <c r="B28" s="5" t="s">
        <v>55</v>
      </c>
    </row>
    <row r="29" spans="1:2">
      <c r="A29" s="2" t="s">
        <v>20</v>
      </c>
      <c r="B29" s="5" t="s">
        <v>55</v>
      </c>
    </row>
    <row r="30" spans="1:2">
      <c r="A30" s="2" t="s">
        <v>21</v>
      </c>
      <c r="B30" s="5" t="s">
        <v>56</v>
      </c>
    </row>
    <row r="31" spans="1:2">
      <c r="A31" s="2" t="s">
        <v>22</v>
      </c>
      <c r="B31" s="5" t="s">
        <v>55</v>
      </c>
    </row>
    <row r="32" spans="1:2">
      <c r="A32" s="2" t="s">
        <v>23</v>
      </c>
      <c r="B32" s="5" t="s">
        <v>55</v>
      </c>
    </row>
    <row r="33" spans="1:2">
      <c r="A33" s="2" t="s">
        <v>24</v>
      </c>
      <c r="B33" s="5" t="s">
        <v>55</v>
      </c>
    </row>
    <row r="34" spans="1:2">
      <c r="A34" s="2" t="s">
        <v>25</v>
      </c>
      <c r="B34" s="5" t="s">
        <v>55</v>
      </c>
    </row>
    <row r="35" spans="1:2">
      <c r="A35" s="2" t="s">
        <v>26</v>
      </c>
      <c r="B35" s="5" t="s">
        <v>55</v>
      </c>
    </row>
    <row r="36" spans="1:2">
      <c r="A36" s="2" t="s">
        <v>27</v>
      </c>
      <c r="B36" s="5" t="s">
        <v>55</v>
      </c>
    </row>
    <row r="37" spans="1:2">
      <c r="A37" s="2" t="s">
        <v>28</v>
      </c>
      <c r="B37" s="5" t="s">
        <v>55</v>
      </c>
    </row>
    <row r="38" spans="1:2">
      <c r="A38" s="2" t="s">
        <v>29</v>
      </c>
      <c r="B38" s="5" t="s">
        <v>55</v>
      </c>
    </row>
    <row r="39" spans="1:2">
      <c r="A39" s="2" t="s">
        <v>58</v>
      </c>
      <c r="B39" s="5" t="s">
        <v>57</v>
      </c>
    </row>
    <row r="40" spans="1:2">
      <c r="A40" s="2" t="s">
        <v>59</v>
      </c>
      <c r="B40" s="5" t="s">
        <v>55</v>
      </c>
    </row>
    <row r="41" spans="1:2">
      <c r="A41" s="2" t="s">
        <v>60</v>
      </c>
      <c r="B41" s="5" t="s">
        <v>55</v>
      </c>
    </row>
    <row r="42" spans="1:2">
      <c r="A42" s="2" t="s">
        <v>61</v>
      </c>
      <c r="B42" s="5" t="s">
        <v>55</v>
      </c>
    </row>
    <row r="43" spans="1:2">
      <c r="A43" s="2" t="s">
        <v>62</v>
      </c>
      <c r="B43" s="5" t="s">
        <v>55</v>
      </c>
    </row>
    <row r="44" spans="1:2">
      <c r="A44" s="2" t="s">
        <v>63</v>
      </c>
      <c r="B44" s="5" t="s">
        <v>55</v>
      </c>
    </row>
    <row r="45" spans="1:2">
      <c r="A45" s="2" t="s">
        <v>64</v>
      </c>
      <c r="B45" s="5" t="s">
        <v>55</v>
      </c>
    </row>
    <row r="46" spans="1:2">
      <c r="A46" s="2" t="s">
        <v>65</v>
      </c>
      <c r="B46" s="5" t="s">
        <v>57</v>
      </c>
    </row>
    <row r="47" spans="1:2">
      <c r="A47" s="2" t="s">
        <v>66</v>
      </c>
      <c r="B47" s="5" t="s">
        <v>55</v>
      </c>
    </row>
    <row r="48" spans="1:2">
      <c r="A48" s="2" t="s">
        <v>67</v>
      </c>
      <c r="B48" s="5" t="s">
        <v>55</v>
      </c>
    </row>
    <row r="49" spans="1:2">
      <c r="A49" s="2" t="s">
        <v>68</v>
      </c>
      <c r="B49" s="5" t="s">
        <v>55</v>
      </c>
    </row>
    <row r="50" spans="1:2">
      <c r="A50" s="2" t="s">
        <v>69</v>
      </c>
      <c r="B50" s="5" t="s">
        <v>55</v>
      </c>
    </row>
    <row r="51" spans="1:2">
      <c r="A51" s="2" t="s">
        <v>70</v>
      </c>
      <c r="B51" s="5" t="s">
        <v>55</v>
      </c>
    </row>
    <row r="52" spans="1:2">
      <c r="A52" s="2" t="s">
        <v>71</v>
      </c>
      <c r="B52" s="5" t="s">
        <v>55</v>
      </c>
    </row>
    <row r="53" spans="1:2">
      <c r="A53" s="2" t="s">
        <v>72</v>
      </c>
      <c r="B53" s="5" t="s">
        <v>55</v>
      </c>
    </row>
    <row r="54" spans="1:2">
      <c r="A54" s="2" t="s">
        <v>73</v>
      </c>
      <c r="B54" s="5" t="s">
        <v>57</v>
      </c>
    </row>
    <row r="55" spans="1:2">
      <c r="A55" s="2" t="s">
        <v>74</v>
      </c>
      <c r="B55" s="5" t="s">
        <v>55</v>
      </c>
    </row>
    <row r="56" spans="1:2">
      <c r="A56" s="2" t="s">
        <v>75</v>
      </c>
      <c r="B56" s="5" t="s">
        <v>55</v>
      </c>
    </row>
    <row r="57" spans="1:2">
      <c r="A57" s="2" t="s">
        <v>76</v>
      </c>
      <c r="B57" s="5" t="s">
        <v>55</v>
      </c>
    </row>
    <row r="58" spans="1:2">
      <c r="A58" s="2" t="s">
        <v>77</v>
      </c>
      <c r="B58" s="5" t="s">
        <v>55</v>
      </c>
    </row>
    <row r="59" spans="1:2">
      <c r="A59" s="2" t="s">
        <v>78</v>
      </c>
      <c r="B59" s="5" t="s">
        <v>55</v>
      </c>
    </row>
    <row r="60" spans="1:2">
      <c r="A60" s="2" t="s">
        <v>79</v>
      </c>
      <c r="B60" s="5" t="s">
        <v>55</v>
      </c>
    </row>
    <row r="61" spans="1:2">
      <c r="A61" s="2" t="s">
        <v>80</v>
      </c>
      <c r="B61" s="5" t="s">
        <v>55</v>
      </c>
    </row>
    <row r="62" spans="1:2">
      <c r="A62" s="2" t="s">
        <v>81</v>
      </c>
      <c r="B62" s="5" t="s">
        <v>55</v>
      </c>
    </row>
    <row r="63" spans="1:2">
      <c r="A63" s="2" t="s">
        <v>82</v>
      </c>
      <c r="B63" s="5" t="s">
        <v>55</v>
      </c>
    </row>
    <row r="64" spans="1:2">
      <c r="A64" s="2" t="s">
        <v>83</v>
      </c>
      <c r="B64" s="5" t="s">
        <v>55</v>
      </c>
    </row>
    <row r="65" spans="1:2">
      <c r="A65" s="2" t="s">
        <v>84</v>
      </c>
      <c r="B65" s="5" t="s">
        <v>57</v>
      </c>
    </row>
    <row r="66" spans="1:2">
      <c r="A66" s="2" t="s">
        <v>85</v>
      </c>
      <c r="B66" s="5" t="s">
        <v>55</v>
      </c>
    </row>
    <row r="67" spans="1:2">
      <c r="A67" s="2" t="s">
        <v>86</v>
      </c>
      <c r="B67" s="5" t="s">
        <v>55</v>
      </c>
    </row>
    <row r="68" spans="1:2">
      <c r="A68" s="2" t="s">
        <v>87</v>
      </c>
      <c r="B68" s="5" t="s">
        <v>55</v>
      </c>
    </row>
    <row r="69" spans="1:2">
      <c r="A69" s="2" t="s">
        <v>88</v>
      </c>
      <c r="B69" s="5" t="s">
        <v>55</v>
      </c>
    </row>
    <row r="70" spans="1:2">
      <c r="A70" s="2" t="s">
        <v>89</v>
      </c>
      <c r="B70" s="5" t="s">
        <v>55</v>
      </c>
    </row>
    <row r="71" spans="1:2">
      <c r="A71" s="2" t="s">
        <v>90</v>
      </c>
      <c r="B71" s="5" t="s">
        <v>55</v>
      </c>
    </row>
    <row r="72" spans="1:2">
      <c r="A72" s="2" t="s">
        <v>91</v>
      </c>
      <c r="B72" s="5" t="s">
        <v>55</v>
      </c>
    </row>
    <row r="73" spans="1:2">
      <c r="A73" s="2" t="s">
        <v>92</v>
      </c>
      <c r="B73" s="5" t="s">
        <v>57</v>
      </c>
    </row>
    <row r="74" spans="1:2">
      <c r="A74" s="2" t="s">
        <v>93</v>
      </c>
      <c r="B74" s="5" t="s">
        <v>57</v>
      </c>
    </row>
    <row r="75" spans="1:2">
      <c r="A75" s="2" t="s">
        <v>94</v>
      </c>
      <c r="B75" s="5" t="s">
        <v>55</v>
      </c>
    </row>
    <row r="76" spans="1:2">
      <c r="A76" s="2" t="s">
        <v>95</v>
      </c>
      <c r="B76" s="5" t="s">
        <v>55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김진대</dc:creator>
  <cp:lastModifiedBy>Jindae Kim</cp:lastModifiedBy>
  <dcterms:created xsi:type="dcterms:W3CDTF">2024-09-01T00:51:41Z</dcterms:created>
  <dcterms:modified xsi:type="dcterms:W3CDTF">2024-09-09T00:48:48Z</dcterms:modified>
</cp:coreProperties>
</file>