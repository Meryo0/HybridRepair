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  <sheet name="FuseFL" sheetId="2" r:id="rId5"/>
  </sheets>
</workbook>
</file>

<file path=xl/sharedStrings.xml><?xml version="1.0" encoding="utf-8"?>
<sst xmlns="http://schemas.openxmlformats.org/spreadsheetml/2006/main" uniqueCount="92">
  <si>
    <t>Exec. Cost</t>
  </si>
  <si>
    <t>LogicFL</t>
  </si>
  <si>
    <t>AutoFL</t>
  </si>
  <si>
    <t>FuseFL</t>
  </si>
  <si>
    <t>lang_npe_1</t>
  </si>
  <si>
    <t>lang_npe_2</t>
  </si>
  <si>
    <t>lang_npe_3</t>
  </si>
  <si>
    <t>lang_npe_4</t>
  </si>
  <si>
    <t>lang_npe_5</t>
  </si>
  <si>
    <t>lang_npe_6</t>
  </si>
  <si>
    <t>lang_npe_7</t>
  </si>
  <si>
    <t>lang_npe_8</t>
  </si>
  <si>
    <t>lang_npe_9</t>
  </si>
  <si>
    <t>lang_npe_10</t>
  </si>
  <si>
    <t>lang_npe_11</t>
  </si>
  <si>
    <t>lang_npe_12</t>
  </si>
  <si>
    <t>lang_npe_13</t>
  </si>
  <si>
    <t>math_npe_1</t>
  </si>
  <si>
    <t>math_npe_2</t>
  </si>
  <si>
    <t>math_npe_3</t>
  </si>
  <si>
    <t>collections_npe_1</t>
  </si>
  <si>
    <t>collections_npe_2</t>
  </si>
  <si>
    <t>collections_npe_3</t>
  </si>
  <si>
    <t>commons-io_npe_1</t>
  </si>
  <si>
    <t>commons-io_npe_2</t>
  </si>
  <si>
    <t>commons-io_npe_3</t>
  </si>
  <si>
    <t>commons-io_npe_4</t>
  </si>
  <si>
    <t>commons-io_npe_5</t>
  </si>
  <si>
    <t>commons-io_npe_6</t>
  </si>
  <si>
    <t>commons-io_npe_7</t>
  </si>
  <si>
    <t>commons-io_npe_8</t>
  </si>
  <si>
    <t>commons-io_npe_9</t>
  </si>
  <si>
    <t>commons-io_npe_10</t>
  </si>
  <si>
    <t>commons-io_npe_11</t>
  </si>
  <si>
    <t>commons-io_npe_12</t>
  </si>
  <si>
    <t>commons-io_npe_13</t>
  </si>
  <si>
    <t>commons-io_npe_14</t>
  </si>
  <si>
    <t>commons-io_npe_15</t>
  </si>
  <si>
    <t>commons-io_npe_16</t>
  </si>
  <si>
    <t>commons-io_npe_17</t>
  </si>
  <si>
    <t>commons-io_npe_18</t>
  </si>
  <si>
    <t>commons-io_npe_19</t>
  </si>
  <si>
    <t>d4j_chart_2</t>
  </si>
  <si>
    <t>d4j_chart_4</t>
  </si>
  <si>
    <t>d4j_chart_14</t>
  </si>
  <si>
    <t>d4j_chart_16</t>
  </si>
  <si>
    <t>d4j_cli_5</t>
  </si>
  <si>
    <t>d4j_cli_30</t>
  </si>
  <si>
    <t>d4j_closure_2</t>
  </si>
  <si>
    <t>d4j_closure_171</t>
  </si>
  <si>
    <t>d4j_codec_5</t>
  </si>
  <si>
    <t>d4j_codec_13</t>
  </si>
  <si>
    <t>d4j_codec_17</t>
  </si>
  <si>
    <t>d4j_csv_4</t>
  </si>
  <si>
    <t>d4j_csv_9</t>
  </si>
  <si>
    <t>d4j_csv_11</t>
  </si>
  <si>
    <t>d4j_gson_6</t>
  </si>
  <si>
    <t>d4j_gson_9</t>
  </si>
  <si>
    <t>d4j_jacksoncore_8</t>
  </si>
  <si>
    <t>d4j_jacksondatabind_3</t>
  </si>
  <si>
    <t>d4j_jacksondatabind_13</t>
  </si>
  <si>
    <t>d4j_jacksondatabind_80</t>
  </si>
  <si>
    <t>d4j_jacksondatabind_93</t>
  </si>
  <si>
    <t>d4j_jacksondatabind_95</t>
  </si>
  <si>
    <t>d4j_jacksondatabind_107</t>
  </si>
  <si>
    <t>d4j_jsoup_8</t>
  </si>
  <si>
    <t>d4j_jsoup_22</t>
  </si>
  <si>
    <t>d4j_jsoup_26</t>
  </si>
  <si>
    <t>d4j_jsoup_66</t>
  </si>
  <si>
    <t>d4j_jsoup_89</t>
  </si>
  <si>
    <t>d4j_lang_20</t>
  </si>
  <si>
    <t>d4j_lang_33</t>
  </si>
  <si>
    <t>d4j_lang_39</t>
  </si>
  <si>
    <t>d4j_lang_47</t>
  </si>
  <si>
    <t>d4j_lang_57</t>
  </si>
  <si>
    <t>d4j_math_4</t>
  </si>
  <si>
    <t>d4j_math_70</t>
  </si>
  <si>
    <t>d4j_math_79</t>
  </si>
  <si>
    <t>d4j_mockito_18</t>
  </si>
  <si>
    <t>d4j_mockito_38</t>
  </si>
  <si>
    <t>Input Tokens</t>
  </si>
  <si>
    <t>Output Tokens</t>
  </si>
  <si>
    <t>GPT-4o</t>
  </si>
  <si>
    <t>Average</t>
  </si>
  <si>
    <t>Ratio</t>
  </si>
  <si>
    <t>GPT-4o-mini</t>
  </si>
  <si>
    <t>표 1</t>
  </si>
  <si>
    <t>bug_id</t>
  </si>
  <si>
    <t xml:space="preserve"> prompot_tokens</t>
  </si>
  <si>
    <t xml:space="preserve"> completion_tokens</t>
  </si>
  <si>
    <t>gpt4o_total_cost</t>
  </si>
  <si>
    <t>gpt4o_mini_total_cost</t>
  </si>
</sst>
</file>

<file path=xl/styles.xml><?xml version="1.0" encoding="utf-8"?>
<styleSheet xmlns="http://schemas.openxmlformats.org/spreadsheetml/2006/main">
  <numFmts count="14">
    <numFmt numFmtId="0" formatCode="General"/>
    <numFmt numFmtId="59" formatCode="0.000000000000000000"/>
    <numFmt numFmtId="60" formatCode="0.000000"/>
    <numFmt numFmtId="61" formatCode="0.00000"/>
    <numFmt numFmtId="62" formatCode="0.0######E+00"/>
    <numFmt numFmtId="63" formatCode="0.0000"/>
    <numFmt numFmtId="64" formatCode="0.0####E+00"/>
    <numFmt numFmtId="65" formatCode="0.0#####E+00"/>
    <numFmt numFmtId="66" formatCode="0.00000000000000000"/>
    <numFmt numFmtId="67" formatCode="[$$-409]0.0000"/>
    <numFmt numFmtId="68" formatCode="0.0000000"/>
    <numFmt numFmtId="69" formatCode="0.0000000000000000000"/>
    <numFmt numFmtId="70" formatCode="0.00000000"/>
    <numFmt numFmtId="71" formatCode="0.000000000000000000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1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3" borderId="3" applyNumberFormat="1" applyFont="1" applyFill="0" applyBorder="1" applyAlignment="1" applyProtection="0">
      <alignment vertical="center" wrapText="1" readingOrder="1"/>
    </xf>
    <xf numFmtId="0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3" borderId="6" applyNumberFormat="1" applyFont="1" applyFill="0" applyBorder="1" applyAlignment="1" applyProtection="0">
      <alignment vertical="center" wrapText="1" readingOrder="1"/>
    </xf>
    <xf numFmtId="0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62" fontId="3" borderId="6" applyNumberFormat="1" applyFont="1" applyFill="0" applyBorder="1" applyAlignment="1" applyProtection="0">
      <alignment vertical="center" wrapText="1" readingOrder="1"/>
    </xf>
    <xf numFmtId="63" fontId="0" borderId="7" applyNumberFormat="1" applyFont="1" applyFill="0" applyBorder="1" applyAlignment="1" applyProtection="0">
      <alignment vertical="top" wrapText="1"/>
    </xf>
    <xf numFmtId="64" fontId="3" borderId="6" applyNumberFormat="1" applyFont="1" applyFill="0" applyBorder="1" applyAlignment="1" applyProtection="0">
      <alignment vertical="center" wrapText="1" readingOrder="1"/>
    </xf>
    <xf numFmtId="65" fontId="3" borderId="6" applyNumberFormat="1" applyFont="1" applyFill="0" applyBorder="1" applyAlignment="1" applyProtection="0">
      <alignment vertical="center" wrapText="1" readingOrder="1"/>
    </xf>
    <xf numFmtId="66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3" borderId="7" applyNumberFormat="1" applyFont="1" applyFill="0" applyBorder="1" applyAlignment="1" applyProtection="0">
      <alignment vertical="center" wrapText="1" readingOrder="1"/>
    </xf>
    <xf numFmtId="0" fontId="3" borderId="6" applyNumberFormat="0" applyFont="1" applyFill="0" applyBorder="1" applyAlignment="1" applyProtection="0">
      <alignment vertical="center" wrapText="1" readingOrder="1"/>
    </xf>
    <xf numFmtId="49" fontId="0" borderId="7" applyNumberFormat="1" applyFont="1" applyFill="0" applyBorder="1" applyAlignment="1" applyProtection="0">
      <alignment vertical="top" wrapText="1"/>
    </xf>
    <xf numFmtId="67" fontId="3" borderId="6" applyNumberFormat="1" applyFont="1" applyFill="0" applyBorder="1" applyAlignment="1" applyProtection="0">
      <alignment vertical="center" wrapText="1" readingOrder="1"/>
    </xf>
    <xf numFmtId="67" fontId="0" borderId="7" applyNumberFormat="1" applyFont="1" applyFill="0" applyBorder="1" applyAlignment="1" applyProtection="0">
      <alignment vertical="top" wrapText="1"/>
    </xf>
    <xf numFmtId="4" fontId="0" borderId="6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68" fontId="0" borderId="4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69" fontId="0" borderId="7" applyNumberFormat="1" applyFont="1" applyFill="0" applyBorder="1" applyAlignment="1" applyProtection="0">
      <alignment vertical="top" wrapText="1"/>
    </xf>
    <xf numFmtId="68" fontId="0" borderId="7" applyNumberFormat="1" applyFont="1" applyFill="0" applyBorder="1" applyAlignment="1" applyProtection="0">
      <alignment vertical="top" wrapText="1"/>
    </xf>
    <xf numFmtId="70" fontId="0" borderId="7" applyNumberFormat="1" applyFont="1" applyFill="0" applyBorder="1" applyAlignment="1" applyProtection="0">
      <alignment vertical="top" wrapText="1"/>
    </xf>
    <xf numFmtId="71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9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t="s" s="4">
        <v>1</v>
      </c>
      <c r="C2" t="s" s="4">
        <v>2</v>
      </c>
      <c r="D2" t="s" s="4">
        <v>3</v>
      </c>
      <c r="E2" s="3"/>
      <c r="F2" s="3"/>
      <c r="G2" s="3"/>
    </row>
    <row r="3" ht="20.25" customHeight="1">
      <c r="A3" t="s" s="5">
        <v>4</v>
      </c>
      <c r="B3" s="6">
        <v>0.000135</v>
      </c>
      <c r="C3" s="7">
        <v>0.258145</v>
      </c>
      <c r="D3" s="8">
        <v>0.0336</v>
      </c>
      <c r="E3" s="9"/>
      <c r="F3" s="9"/>
      <c r="G3" s="9"/>
    </row>
    <row r="4" ht="20.05" customHeight="1">
      <c r="A4" t="s" s="10">
        <v>5</v>
      </c>
      <c r="B4" s="11">
        <v>0.000173</v>
      </c>
      <c r="C4" s="12">
        <v>0.66542</v>
      </c>
      <c r="D4" s="13">
        <v>0.028365</v>
      </c>
      <c r="E4" s="14"/>
      <c r="F4" s="14"/>
      <c r="G4" s="14"/>
    </row>
    <row r="5" ht="20.05" customHeight="1">
      <c r="A5" t="s" s="10">
        <v>6</v>
      </c>
      <c r="B5" s="11">
        <v>0.000126</v>
      </c>
      <c r="C5" s="12">
        <v>0.58509</v>
      </c>
      <c r="D5" s="15">
        <v>0.03859</v>
      </c>
      <c r="E5" s="14"/>
      <c r="F5" s="14"/>
      <c r="G5" s="14"/>
    </row>
    <row r="6" ht="20.05" customHeight="1">
      <c r="A6" t="s" s="10">
        <v>7</v>
      </c>
      <c r="B6" s="11">
        <v>0.000179</v>
      </c>
      <c r="C6" s="12">
        <v>0.307575</v>
      </c>
      <c r="D6" s="16">
        <v>0.01843</v>
      </c>
      <c r="E6" s="14"/>
      <c r="F6" s="14"/>
      <c r="G6" s="14"/>
    </row>
    <row r="7" ht="20.05" customHeight="1">
      <c r="A7" t="s" s="10">
        <v>8</v>
      </c>
      <c r="B7" s="11">
        <v>0.000141</v>
      </c>
      <c r="C7" s="12">
        <v>0.30702</v>
      </c>
      <c r="D7" s="15">
        <v>0.02309</v>
      </c>
      <c r="E7" s="14"/>
      <c r="F7" s="14"/>
      <c r="G7" s="14"/>
    </row>
    <row r="8" ht="20.05" customHeight="1">
      <c r="A8" t="s" s="10">
        <v>9</v>
      </c>
      <c r="B8" s="11">
        <v>0.00013</v>
      </c>
      <c r="C8" s="12">
        <v>0.7000150000000001</v>
      </c>
      <c r="D8" s="13">
        <v>0.016595</v>
      </c>
      <c r="E8" s="14"/>
      <c r="F8" s="14"/>
      <c r="G8" s="14"/>
    </row>
    <row r="9" ht="20.05" customHeight="1">
      <c r="A9" t="s" s="10">
        <v>10</v>
      </c>
      <c r="B9" s="11">
        <v>0.000208</v>
      </c>
      <c r="C9" s="12">
        <v>0.28374</v>
      </c>
      <c r="D9" s="15">
        <v>0.01173</v>
      </c>
      <c r="E9" s="14"/>
      <c r="F9" s="14"/>
      <c r="G9" s="14"/>
    </row>
    <row r="10" ht="20.05" customHeight="1">
      <c r="A10" t="s" s="10">
        <v>11</v>
      </c>
      <c r="B10" s="11">
        <v>0.000135</v>
      </c>
      <c r="C10" s="12">
        <v>0.28611</v>
      </c>
      <c r="D10" s="13">
        <v>0.018955</v>
      </c>
      <c r="E10" s="14"/>
      <c r="F10" s="14"/>
      <c r="G10" s="14"/>
    </row>
    <row r="11" ht="20.05" customHeight="1">
      <c r="A11" t="s" s="10">
        <v>12</v>
      </c>
      <c r="B11" s="11">
        <v>0.000134</v>
      </c>
      <c r="C11" s="12">
        <v>0.83218</v>
      </c>
      <c r="D11" s="13">
        <v>0.045955</v>
      </c>
      <c r="E11" s="14"/>
      <c r="F11" s="14"/>
      <c r="G11" s="14"/>
    </row>
    <row r="12" ht="20.05" customHeight="1">
      <c r="A12" t="s" s="10">
        <v>13</v>
      </c>
      <c r="B12" s="11">
        <v>0.000201</v>
      </c>
      <c r="C12" s="12">
        <v>0.74821</v>
      </c>
      <c r="D12" s="15">
        <v>0.03037</v>
      </c>
      <c r="E12" s="14"/>
      <c r="F12" s="14"/>
      <c r="G12" s="14"/>
    </row>
    <row r="13" ht="20.05" customHeight="1">
      <c r="A13" t="s" s="10">
        <v>14</v>
      </c>
      <c r="B13" s="11">
        <v>0.000113</v>
      </c>
      <c r="C13" s="12">
        <v>1.16277</v>
      </c>
      <c r="D13" s="13">
        <v>0.015735</v>
      </c>
      <c r="E13" s="14"/>
      <c r="F13" s="14"/>
      <c r="G13" s="14"/>
    </row>
    <row r="14" ht="20.05" customHeight="1">
      <c r="A14" t="s" s="10">
        <v>15</v>
      </c>
      <c r="B14" s="11">
        <v>0.000159</v>
      </c>
      <c r="C14" s="12">
        <v>0.87687</v>
      </c>
      <c r="D14" s="15">
        <v>0.05924</v>
      </c>
      <c r="E14" s="14"/>
      <c r="F14" s="14"/>
      <c r="G14" s="14"/>
    </row>
    <row r="15" ht="20.05" customHeight="1">
      <c r="A15" t="s" s="10">
        <v>16</v>
      </c>
      <c r="B15" s="11">
        <v>0.000224</v>
      </c>
      <c r="C15" s="12">
        <v>0.81182</v>
      </c>
      <c r="D15" s="16">
        <v>0.02097</v>
      </c>
      <c r="E15" s="14"/>
      <c r="F15" s="14"/>
      <c r="G15" s="14"/>
    </row>
    <row r="16" ht="20.05" customHeight="1">
      <c r="A16" t="s" s="10">
        <v>17</v>
      </c>
      <c r="B16" s="11">
        <v>0.000133</v>
      </c>
      <c r="C16" s="12">
        <v>0.657365</v>
      </c>
      <c r="D16" s="15">
        <v>0.07381</v>
      </c>
      <c r="E16" s="14"/>
      <c r="F16" s="14"/>
      <c r="G16" s="14"/>
    </row>
    <row r="17" ht="20.05" customHeight="1">
      <c r="A17" t="s" s="10">
        <v>18</v>
      </c>
      <c r="B17" s="11">
        <v>0.000262</v>
      </c>
      <c r="C17" s="12">
        <v>1.21386</v>
      </c>
      <c r="D17" s="13">
        <v>0.169815</v>
      </c>
      <c r="E17" s="14"/>
      <c r="F17" s="14"/>
      <c r="G17" s="14"/>
    </row>
    <row r="18" ht="20.05" customHeight="1">
      <c r="A18" t="s" s="10">
        <v>19</v>
      </c>
      <c r="B18" s="17">
        <v>5.81e-05</v>
      </c>
      <c r="C18" s="12">
        <v>0.38249</v>
      </c>
      <c r="D18" s="13">
        <v>0.015795</v>
      </c>
      <c r="E18" s="14"/>
      <c r="F18" s="14"/>
      <c r="G18" s="14"/>
    </row>
    <row r="19" ht="20.05" customHeight="1">
      <c r="A19" t="s" s="10">
        <v>20</v>
      </c>
      <c r="B19" s="11">
        <v>0.000125</v>
      </c>
      <c r="C19" s="12">
        <v>0.737075</v>
      </c>
      <c r="D19" s="13">
        <v>0.029635</v>
      </c>
      <c r="E19" s="14"/>
      <c r="F19" s="14"/>
      <c r="G19" s="14"/>
    </row>
    <row r="20" ht="20.05" customHeight="1">
      <c r="A20" t="s" s="10">
        <v>21</v>
      </c>
      <c r="B20" s="11">
        <v>0.000129</v>
      </c>
      <c r="C20" s="12">
        <v>0.679955</v>
      </c>
      <c r="D20" s="15">
        <v>0.02409</v>
      </c>
      <c r="E20" s="14"/>
      <c r="F20" s="14"/>
      <c r="G20" s="14"/>
    </row>
    <row r="21" ht="20.05" customHeight="1">
      <c r="A21" t="s" s="10">
        <v>22</v>
      </c>
      <c r="B21" s="17">
        <v>9.05e-05</v>
      </c>
      <c r="C21" s="12">
        <v>0.692765</v>
      </c>
      <c r="D21" s="13">
        <v>0.032765</v>
      </c>
      <c r="E21" s="14"/>
      <c r="F21" s="14"/>
      <c r="G21" s="14"/>
    </row>
    <row r="22" ht="32.05" customHeight="1">
      <c r="A22" t="s" s="10">
        <v>23</v>
      </c>
      <c r="B22" s="11">
        <v>0.000128</v>
      </c>
      <c r="C22" s="12">
        <v>0.414185</v>
      </c>
      <c r="D22" s="13">
        <v>0.021215</v>
      </c>
      <c r="E22" s="14"/>
      <c r="F22" s="14"/>
      <c r="G22" s="14"/>
    </row>
    <row r="23" ht="32.05" customHeight="1">
      <c r="A23" t="s" s="10">
        <v>24</v>
      </c>
      <c r="B23" s="17">
        <v>7.74e-05</v>
      </c>
      <c r="C23" s="12">
        <v>0.39705</v>
      </c>
      <c r="D23" s="16">
        <v>0.024675</v>
      </c>
      <c r="E23" s="14"/>
      <c r="F23" s="14"/>
      <c r="G23" s="14"/>
    </row>
    <row r="24" ht="32.05" customHeight="1">
      <c r="A24" t="s" s="10">
        <v>25</v>
      </c>
      <c r="B24" s="17">
        <v>8.42e-05</v>
      </c>
      <c r="C24" s="12">
        <v>0.617355</v>
      </c>
      <c r="D24" s="15">
        <v>0.05754</v>
      </c>
      <c r="E24" s="14"/>
      <c r="F24" s="14"/>
      <c r="G24" s="14"/>
    </row>
    <row r="25" ht="32.05" customHeight="1">
      <c r="A25" t="s" s="10">
        <v>26</v>
      </c>
      <c r="B25" s="11">
        <v>0.0001</v>
      </c>
      <c r="C25" s="12">
        <v>0.56265</v>
      </c>
      <c r="D25" s="16">
        <v>0.01402</v>
      </c>
      <c r="E25" s="14"/>
      <c r="F25" s="14"/>
      <c r="G25" s="14"/>
    </row>
    <row r="26" ht="32.05" customHeight="1">
      <c r="A26" t="s" s="10">
        <v>27</v>
      </c>
      <c r="B26" s="11">
        <v>0.000116</v>
      </c>
      <c r="C26" s="12">
        <v>0.679295</v>
      </c>
      <c r="D26" s="16">
        <v>0.028215</v>
      </c>
      <c r="E26" s="14"/>
      <c r="F26" s="14"/>
      <c r="G26" s="14"/>
    </row>
    <row r="27" ht="32.05" customHeight="1">
      <c r="A27" t="s" s="10">
        <v>28</v>
      </c>
      <c r="B27" s="11">
        <v>0.000144</v>
      </c>
      <c r="C27" s="12">
        <v>0.62869</v>
      </c>
      <c r="D27" s="18">
        <v>0.0183</v>
      </c>
      <c r="E27" s="14"/>
      <c r="F27" s="14"/>
      <c r="G27" s="14"/>
    </row>
    <row r="28" ht="32.05" customHeight="1">
      <c r="A28" t="s" s="10">
        <v>29</v>
      </c>
      <c r="B28" s="11">
        <v>0.00013</v>
      </c>
      <c r="C28" s="12">
        <v>0.41492</v>
      </c>
      <c r="D28" s="13">
        <v>0.017925</v>
      </c>
      <c r="E28" s="14"/>
      <c r="F28" s="14"/>
      <c r="G28" s="14"/>
    </row>
    <row r="29" ht="32.05" customHeight="1">
      <c r="A29" t="s" s="10">
        <v>30</v>
      </c>
      <c r="B29" s="11">
        <v>0.000159</v>
      </c>
      <c r="C29" s="12">
        <v>0.72377</v>
      </c>
      <c r="D29" s="13">
        <v>0.021175</v>
      </c>
      <c r="E29" s="14"/>
      <c r="F29" s="14"/>
      <c r="G29" s="14"/>
    </row>
    <row r="30" ht="32.05" customHeight="1">
      <c r="A30" t="s" s="10">
        <v>31</v>
      </c>
      <c r="B30" s="11">
        <v>0.000175</v>
      </c>
      <c r="C30" s="12">
        <v>0.440965</v>
      </c>
      <c r="D30" s="13">
        <v>0.018885</v>
      </c>
      <c r="E30" s="14"/>
      <c r="F30" s="14"/>
      <c r="G30" s="14"/>
    </row>
    <row r="31" ht="32.05" customHeight="1">
      <c r="A31" t="s" s="10">
        <v>32</v>
      </c>
      <c r="B31" s="11">
        <v>0.000147</v>
      </c>
      <c r="C31" s="12">
        <v>0.406845</v>
      </c>
      <c r="D31" s="16">
        <v>0.01306</v>
      </c>
      <c r="E31" s="14"/>
      <c r="F31" s="14"/>
      <c r="G31" s="14"/>
    </row>
    <row r="32" ht="32.05" customHeight="1">
      <c r="A32" t="s" s="10">
        <v>33</v>
      </c>
      <c r="B32" s="11">
        <v>0.000146</v>
      </c>
      <c r="C32" s="12">
        <v>0.48745</v>
      </c>
      <c r="D32" s="13">
        <v>0.017405</v>
      </c>
      <c r="E32" s="14"/>
      <c r="F32" s="14"/>
      <c r="G32" s="14"/>
    </row>
    <row r="33" ht="32.05" customHeight="1">
      <c r="A33" t="s" s="10">
        <v>34</v>
      </c>
      <c r="B33" s="11">
        <v>0.000135</v>
      </c>
      <c r="C33" s="12">
        <v>0.45274</v>
      </c>
      <c r="D33" s="16">
        <v>0.015595</v>
      </c>
      <c r="E33" s="14"/>
      <c r="F33" s="14"/>
      <c r="G33" s="14"/>
    </row>
    <row r="34" ht="32.05" customHeight="1">
      <c r="A34" t="s" s="10">
        <v>35</v>
      </c>
      <c r="B34" s="11">
        <v>0.000265</v>
      </c>
      <c r="C34" s="12">
        <v>0.32867</v>
      </c>
      <c r="D34" s="15">
        <v>0.02071</v>
      </c>
      <c r="E34" s="14"/>
      <c r="F34" s="14"/>
      <c r="G34" s="14"/>
    </row>
    <row r="35" ht="32.05" customHeight="1">
      <c r="A35" t="s" s="10">
        <v>36</v>
      </c>
      <c r="B35" s="11">
        <v>0.000133</v>
      </c>
      <c r="C35" s="12">
        <v>1.553905</v>
      </c>
      <c r="D35" s="13">
        <v>0.023825</v>
      </c>
      <c r="E35" s="14"/>
      <c r="F35" s="14"/>
      <c r="G35" s="14"/>
    </row>
    <row r="36" ht="32.05" customHeight="1">
      <c r="A36" t="s" s="10">
        <v>37</v>
      </c>
      <c r="B36" s="11">
        <v>0.000159</v>
      </c>
      <c r="C36" s="12">
        <v>0.9807</v>
      </c>
      <c r="D36" s="16">
        <v>0.026195</v>
      </c>
      <c r="E36" s="14"/>
      <c r="F36" s="14"/>
      <c r="G36" s="14"/>
    </row>
    <row r="37" ht="32.05" customHeight="1">
      <c r="A37" t="s" s="10">
        <v>38</v>
      </c>
      <c r="B37" s="11">
        <v>0.000155</v>
      </c>
      <c r="C37" s="12">
        <v>0.71802</v>
      </c>
      <c r="D37" s="16">
        <v>0.029325</v>
      </c>
      <c r="E37" s="14"/>
      <c r="F37" s="14"/>
      <c r="G37" s="14"/>
    </row>
    <row r="38" ht="32.05" customHeight="1">
      <c r="A38" t="s" s="10">
        <v>39</v>
      </c>
      <c r="B38" s="11">
        <v>0.000133</v>
      </c>
      <c r="C38" s="12">
        <v>0.724325</v>
      </c>
      <c r="D38" s="13">
        <v>0.027965</v>
      </c>
      <c r="E38" s="14"/>
      <c r="F38" s="14"/>
      <c r="G38" s="14"/>
    </row>
    <row r="39" ht="32.05" customHeight="1">
      <c r="A39" t="s" s="10">
        <v>40</v>
      </c>
      <c r="B39" s="11">
        <v>0.000123</v>
      </c>
      <c r="C39" s="12">
        <v>1.581295</v>
      </c>
      <c r="D39" s="16">
        <v>0.022045</v>
      </c>
      <c r="E39" s="14"/>
      <c r="F39" s="14"/>
      <c r="G39" s="14"/>
    </row>
    <row r="40" ht="32.05" customHeight="1">
      <c r="A40" t="s" s="10">
        <v>41</v>
      </c>
      <c r="B40" s="11">
        <v>0.000106</v>
      </c>
      <c r="C40" s="12">
        <v>1.44868</v>
      </c>
      <c r="D40" s="13">
        <v>0.025065</v>
      </c>
      <c r="E40" s="14"/>
      <c r="F40" s="14"/>
      <c r="G40" s="14"/>
    </row>
    <row r="41" ht="20.05" customHeight="1">
      <c r="A41" t="s" s="10">
        <v>42</v>
      </c>
      <c r="B41" s="11">
        <v>0.000225</v>
      </c>
      <c r="C41" s="12">
        <v>0.90388</v>
      </c>
      <c r="D41" s="13">
        <v>0.032585</v>
      </c>
      <c r="E41" s="14"/>
      <c r="F41" s="14"/>
      <c r="G41" s="14"/>
    </row>
    <row r="42" ht="20.05" customHeight="1">
      <c r="A42" t="s" s="10">
        <v>43</v>
      </c>
      <c r="B42" s="19">
        <v>8.000000000000001e-05</v>
      </c>
      <c r="C42" s="12">
        <v>1.50546</v>
      </c>
      <c r="D42" s="13">
        <v>0.322165</v>
      </c>
      <c r="E42" s="14"/>
      <c r="F42" s="14"/>
      <c r="G42" s="14"/>
    </row>
    <row r="43" ht="20.05" customHeight="1">
      <c r="A43" t="s" s="10">
        <v>44</v>
      </c>
      <c r="B43" s="11">
        <v>0.000212</v>
      </c>
      <c r="C43" s="12">
        <v>1.258625</v>
      </c>
      <c r="D43" s="13">
        <v>0.08236499999999999</v>
      </c>
      <c r="E43" s="14"/>
      <c r="F43" s="14"/>
      <c r="G43" s="14"/>
    </row>
    <row r="44" ht="20.05" customHeight="1">
      <c r="A44" t="s" s="10">
        <v>45</v>
      </c>
      <c r="B44" s="11">
        <v>0.000723</v>
      </c>
      <c r="C44" s="12">
        <v>0.69132</v>
      </c>
      <c r="D44" s="16">
        <v>0.036125</v>
      </c>
      <c r="E44" s="14"/>
      <c r="F44" s="14"/>
      <c r="G44" s="14"/>
    </row>
    <row r="45" ht="20.05" customHeight="1">
      <c r="A45" t="s" s="10">
        <v>46</v>
      </c>
      <c r="B45" s="11">
        <v>0.000121</v>
      </c>
      <c r="C45" s="12">
        <v>0.39315</v>
      </c>
      <c r="D45" s="13">
        <v>0.027025</v>
      </c>
      <c r="E45" s="14"/>
      <c r="F45" s="14"/>
      <c r="G45" s="14"/>
    </row>
    <row r="46" ht="20.05" customHeight="1">
      <c r="A46" t="s" s="10">
        <v>47</v>
      </c>
      <c r="B46" s="20">
        <v>9.3e-05</v>
      </c>
      <c r="C46" s="12">
        <v>0.596715</v>
      </c>
      <c r="D46" s="15">
        <v>0.04898</v>
      </c>
      <c r="E46" s="14"/>
      <c r="F46" s="14"/>
      <c r="G46" s="14"/>
    </row>
    <row r="47" ht="20.05" customHeight="1">
      <c r="A47" t="s" s="10">
        <v>48</v>
      </c>
      <c r="B47" s="11">
        <v>0.0009840000000000001</v>
      </c>
      <c r="C47" s="12">
        <v>0.843145</v>
      </c>
      <c r="D47" s="13">
        <v>0.418955</v>
      </c>
      <c r="E47" s="14"/>
      <c r="F47" s="14"/>
      <c r="G47" s="14"/>
    </row>
    <row r="48" ht="20.05" customHeight="1">
      <c r="A48" t="s" s="10">
        <v>49</v>
      </c>
      <c r="B48" s="11">
        <v>0.000909</v>
      </c>
      <c r="C48" s="12">
        <v>1.635685</v>
      </c>
      <c r="D48" s="13">
        <v>0.578195</v>
      </c>
      <c r="E48" s="14"/>
      <c r="F48" s="14"/>
      <c r="G48" s="14"/>
    </row>
    <row r="49" ht="20.05" customHeight="1">
      <c r="A49" t="s" s="10">
        <v>50</v>
      </c>
      <c r="B49" s="17">
        <v>9.05e-05</v>
      </c>
      <c r="C49" s="12">
        <v>0.920175</v>
      </c>
      <c r="D49" s="13">
        <v>0.037045</v>
      </c>
      <c r="E49" s="14"/>
      <c r="F49" s="14"/>
      <c r="G49" s="14"/>
    </row>
    <row r="50" ht="20.05" customHeight="1">
      <c r="A50" t="s" s="10">
        <v>51</v>
      </c>
      <c r="B50" s="17">
        <v>7.26e-05</v>
      </c>
      <c r="C50" s="12">
        <v>1.032105</v>
      </c>
      <c r="D50" s="13">
        <v>0.024125</v>
      </c>
      <c r="E50" s="14"/>
      <c r="F50" s="14"/>
      <c r="G50" s="14"/>
    </row>
    <row r="51" ht="20.05" customHeight="1">
      <c r="A51" t="s" s="10">
        <v>52</v>
      </c>
      <c r="B51" s="11">
        <v>0.000105</v>
      </c>
      <c r="C51" s="12">
        <v>0.47504</v>
      </c>
      <c r="D51" s="15">
        <v>0.01595</v>
      </c>
      <c r="E51" s="14"/>
      <c r="F51" s="14"/>
      <c r="G51" s="14"/>
    </row>
    <row r="52" ht="20.05" customHeight="1">
      <c r="A52" t="s" s="10">
        <v>53</v>
      </c>
      <c r="B52" s="17">
        <v>9.61e-05</v>
      </c>
      <c r="C52" s="12">
        <v>0.7273500000000001</v>
      </c>
      <c r="D52" s="16">
        <v>0.02804</v>
      </c>
      <c r="E52" s="14"/>
      <c r="F52" s="14"/>
      <c r="G52" s="14"/>
    </row>
    <row r="53" ht="20.05" customHeight="1">
      <c r="A53" t="s" s="10">
        <v>54</v>
      </c>
      <c r="B53" s="11">
        <v>0.0001</v>
      </c>
      <c r="C53" s="12">
        <v>0.67822</v>
      </c>
      <c r="D53" s="13">
        <v>0.038825</v>
      </c>
      <c r="E53" s="14"/>
      <c r="F53" s="14"/>
      <c r="G53" s="14"/>
    </row>
    <row r="54" ht="20.05" customHeight="1">
      <c r="A54" t="s" s="10">
        <v>55</v>
      </c>
      <c r="B54" s="11">
        <v>0.000114</v>
      </c>
      <c r="C54" s="12">
        <v>0.6228050000000001</v>
      </c>
      <c r="D54" s="15">
        <v>0.05702</v>
      </c>
      <c r="E54" s="14"/>
      <c r="F54" s="14"/>
      <c r="G54" s="14"/>
    </row>
    <row r="55" ht="20.05" customHeight="1">
      <c r="A55" t="s" s="10">
        <v>56</v>
      </c>
      <c r="B55" s="11">
        <v>0.000224</v>
      </c>
      <c r="C55" s="12">
        <v>0.8539600000000001</v>
      </c>
      <c r="D55" s="21">
        <v>0.0696</v>
      </c>
      <c r="E55" s="14"/>
      <c r="F55" s="14"/>
      <c r="G55" s="14"/>
    </row>
    <row r="56" ht="20.05" customHeight="1">
      <c r="A56" t="s" s="10">
        <v>57</v>
      </c>
      <c r="B56" s="17">
        <v>7.21e-05</v>
      </c>
      <c r="C56" s="12">
        <v>0.75479</v>
      </c>
      <c r="D56" s="15">
        <v>0.01908</v>
      </c>
      <c r="E56" s="14"/>
      <c r="F56" s="14"/>
      <c r="G56" s="14"/>
    </row>
    <row r="57" ht="20.05" customHeight="1">
      <c r="A57" t="s" s="10">
        <v>58</v>
      </c>
      <c r="B57" s="17">
        <v>7.720000000000001e-05</v>
      </c>
      <c r="C57" s="12">
        <v>0.459055</v>
      </c>
      <c r="D57" s="13">
        <v>0.020405</v>
      </c>
      <c r="E57" s="14"/>
      <c r="F57" s="14"/>
      <c r="G57" s="14"/>
    </row>
    <row r="58" ht="32.05" customHeight="1">
      <c r="A58" t="s" s="10">
        <v>59</v>
      </c>
      <c r="B58" s="11">
        <v>0.000928</v>
      </c>
      <c r="C58" s="12">
        <v>0.99135</v>
      </c>
      <c r="D58" s="21">
        <v>0.140215</v>
      </c>
      <c r="E58" s="14"/>
      <c r="F58" s="14"/>
      <c r="G58" s="14"/>
    </row>
    <row r="59" ht="32.05" customHeight="1">
      <c r="A59" t="s" s="10">
        <v>60</v>
      </c>
      <c r="B59" s="11">
        <v>0.000639</v>
      </c>
      <c r="C59" s="12">
        <v>1.08947</v>
      </c>
      <c r="D59" s="21">
        <v>0.330875</v>
      </c>
      <c r="E59" s="14"/>
      <c r="F59" s="14"/>
      <c r="G59" s="14"/>
    </row>
    <row r="60" ht="32.05" customHeight="1">
      <c r="A60" t="s" s="10">
        <v>61</v>
      </c>
      <c r="B60" s="11">
        <v>0.000464</v>
      </c>
      <c r="C60" s="12">
        <v>1.191235</v>
      </c>
      <c r="D60" s="21">
        <v>0.119205</v>
      </c>
      <c r="E60" s="14"/>
      <c r="F60" s="14"/>
      <c r="G60" s="14"/>
    </row>
    <row r="61" ht="32.05" customHeight="1">
      <c r="A61" t="s" s="10">
        <v>62</v>
      </c>
      <c r="B61" s="11">
        <v>0.000507</v>
      </c>
      <c r="C61" s="12">
        <v>1.10607</v>
      </c>
      <c r="D61" s="15">
        <v>0.35199</v>
      </c>
      <c r="E61" s="14"/>
      <c r="F61" s="14"/>
      <c r="G61" s="14"/>
    </row>
    <row r="62" ht="32.05" customHeight="1">
      <c r="A62" t="s" s="10">
        <v>63</v>
      </c>
      <c r="B62" s="11">
        <v>0.000803</v>
      </c>
      <c r="C62" s="12">
        <v>1.195705</v>
      </c>
      <c r="D62" s="13">
        <v>0.063475</v>
      </c>
      <c r="E62" s="14"/>
      <c r="F62" s="14"/>
      <c r="G62" s="14"/>
    </row>
    <row r="63" ht="32.05" customHeight="1">
      <c r="A63" t="s" s="10">
        <v>64</v>
      </c>
      <c r="B63" s="11">
        <v>0.000228</v>
      </c>
      <c r="C63" s="12">
        <v>1.14906</v>
      </c>
      <c r="D63" s="15">
        <v>0.49607</v>
      </c>
      <c r="E63" s="14"/>
      <c r="F63" s="14"/>
      <c r="G63" s="14"/>
    </row>
    <row r="64" ht="20.05" customHeight="1">
      <c r="A64" t="s" s="10">
        <v>65</v>
      </c>
      <c r="B64" s="11">
        <v>0.000104</v>
      </c>
      <c r="C64" s="12">
        <v>0.742805</v>
      </c>
      <c r="D64" s="21">
        <v>0.087325</v>
      </c>
      <c r="E64" s="14"/>
      <c r="F64" s="14"/>
      <c r="G64" s="14"/>
    </row>
    <row r="65" ht="20.05" customHeight="1">
      <c r="A65" t="s" s="10">
        <v>66</v>
      </c>
      <c r="B65" s="11">
        <v>0.00023</v>
      </c>
      <c r="C65" s="12">
        <v>0.480355</v>
      </c>
      <c r="D65" s="16">
        <v>0.026875</v>
      </c>
      <c r="E65" s="14"/>
      <c r="F65" s="14"/>
      <c r="G65" s="14"/>
    </row>
    <row r="66" ht="20.05" customHeight="1">
      <c r="A66" t="s" s="10">
        <v>67</v>
      </c>
      <c r="B66" s="11">
        <v>0.000243</v>
      </c>
      <c r="C66" s="12">
        <v>0.74304</v>
      </c>
      <c r="D66" s="21">
        <v>0.11182</v>
      </c>
      <c r="E66" s="14"/>
      <c r="F66" s="14"/>
      <c r="G66" s="14"/>
    </row>
    <row r="67" ht="20.05" customHeight="1">
      <c r="A67" t="s" s="10">
        <v>68</v>
      </c>
      <c r="B67" s="11">
        <v>0.000177</v>
      </c>
      <c r="C67" s="12">
        <v>1.32335</v>
      </c>
      <c r="D67" s="21">
        <v>0.139095</v>
      </c>
      <c r="E67" s="14"/>
      <c r="F67" s="14"/>
      <c r="G67" s="14"/>
    </row>
    <row r="68" ht="20.05" customHeight="1">
      <c r="A68" t="s" s="10">
        <v>69</v>
      </c>
      <c r="B68" s="17">
        <v>7.15e-05</v>
      </c>
      <c r="C68" s="12">
        <v>0.4848</v>
      </c>
      <c r="D68" s="16">
        <v>0.018375</v>
      </c>
      <c r="E68" s="14"/>
      <c r="F68" s="14"/>
      <c r="G68" s="14"/>
    </row>
    <row r="69" ht="20.05" customHeight="1">
      <c r="A69" t="s" s="10">
        <v>70</v>
      </c>
      <c r="B69" s="11">
        <v>0.000136</v>
      </c>
      <c r="C69" s="12">
        <v>0.719635</v>
      </c>
      <c r="D69" s="16">
        <v>0.023225</v>
      </c>
      <c r="E69" s="14"/>
      <c r="F69" s="14"/>
      <c r="G69" s="14"/>
    </row>
    <row r="70" ht="20.05" customHeight="1">
      <c r="A70" t="s" s="10">
        <v>71</v>
      </c>
      <c r="B70" s="11">
        <v>0.000121</v>
      </c>
      <c r="C70" s="12">
        <v>0.328165</v>
      </c>
      <c r="D70" s="13">
        <v>0.027635</v>
      </c>
      <c r="E70" s="14"/>
      <c r="F70" s="14"/>
      <c r="G70" s="14"/>
    </row>
    <row r="71" ht="20.05" customHeight="1">
      <c r="A71" t="s" s="10">
        <v>72</v>
      </c>
      <c r="B71" s="11">
        <v>0.000166</v>
      </c>
      <c r="C71" s="12">
        <v>0.910675</v>
      </c>
      <c r="D71" s="13">
        <v>0.027795</v>
      </c>
      <c r="E71" s="14"/>
      <c r="F71" s="14"/>
      <c r="G71" s="14"/>
    </row>
    <row r="72" ht="20.05" customHeight="1">
      <c r="A72" t="s" s="10">
        <v>73</v>
      </c>
      <c r="B72" s="11">
        <v>0.00011</v>
      </c>
      <c r="C72" s="12">
        <v>0.518065</v>
      </c>
      <c r="D72" s="15">
        <v>0.02084</v>
      </c>
      <c r="E72" s="14"/>
      <c r="F72" s="14"/>
      <c r="G72" s="14"/>
    </row>
    <row r="73" ht="20.05" customHeight="1">
      <c r="A73" t="s" s="10">
        <v>74</v>
      </c>
      <c r="B73" s="20">
        <v>8.899999999999999e-05</v>
      </c>
      <c r="C73" s="12">
        <v>0.70355</v>
      </c>
      <c r="D73" s="13">
        <v>0.048945</v>
      </c>
      <c r="E73" s="14"/>
      <c r="F73" s="14"/>
      <c r="G73" s="14"/>
    </row>
    <row r="74" ht="20.05" customHeight="1">
      <c r="A74" t="s" s="10">
        <v>75</v>
      </c>
      <c r="B74" s="11">
        <v>0.000189</v>
      </c>
      <c r="C74" s="12">
        <v>0.76963</v>
      </c>
      <c r="D74" s="21">
        <v>0.07142</v>
      </c>
      <c r="E74" s="14"/>
      <c r="F74" s="14"/>
      <c r="G74" s="14"/>
    </row>
    <row r="75" ht="20.05" customHeight="1">
      <c r="A75" t="s" s="10">
        <v>76</v>
      </c>
      <c r="B75" s="17">
        <v>6.329999999999999e-05</v>
      </c>
      <c r="C75" s="12">
        <v>0.689825</v>
      </c>
      <c r="D75" s="16">
        <v>0.02295</v>
      </c>
      <c r="E75" s="14"/>
      <c r="F75" s="14"/>
      <c r="G75" s="14"/>
    </row>
    <row r="76" ht="20.05" customHeight="1">
      <c r="A76" t="s" s="10">
        <v>77</v>
      </c>
      <c r="B76" s="17">
        <v>7.25e-05</v>
      </c>
      <c r="C76" s="12">
        <v>0.8018</v>
      </c>
      <c r="D76" s="15">
        <v>0.02705</v>
      </c>
      <c r="E76" s="14"/>
      <c r="F76" s="14"/>
      <c r="G76" s="14"/>
    </row>
    <row r="77" ht="20.05" customHeight="1">
      <c r="A77" t="s" s="10">
        <v>78</v>
      </c>
      <c r="B77" s="17">
        <v>8.92e-05</v>
      </c>
      <c r="C77" s="12">
        <v>0.442325</v>
      </c>
      <c r="D77" s="16">
        <v>0.056045</v>
      </c>
      <c r="E77" s="14"/>
      <c r="F77" s="14"/>
      <c r="G77" s="14"/>
    </row>
    <row r="78" ht="20.05" customHeight="1">
      <c r="A78" t="s" s="10">
        <v>79</v>
      </c>
      <c r="B78" s="11">
        <v>0.000149</v>
      </c>
      <c r="C78" s="12">
        <v>0.6813</v>
      </c>
      <c r="D78" s="21">
        <v>0.043865</v>
      </c>
      <c r="E78" s="14"/>
      <c r="F78" s="14"/>
      <c r="G78" s="14"/>
    </row>
    <row r="79" ht="20.05" customHeight="1">
      <c r="A79" s="22"/>
      <c r="B79" s="11">
        <f>SUM(B3:B78)</f>
        <v>0.0153492</v>
      </c>
      <c r="C79" s="23">
        <f>SUM(C3:C78)</f>
        <v>57.163675</v>
      </c>
      <c r="D79" s="23">
        <f>SUM(D3:D78)</f>
        <v>5.26225</v>
      </c>
      <c r="E79" s="14"/>
      <c r="F79" s="14"/>
      <c r="G79" s="14"/>
    </row>
    <row r="80" ht="20.05" customHeight="1">
      <c r="A80" s="22"/>
      <c r="B80" s="24"/>
      <c r="C80" s="14"/>
      <c r="D80" s="14"/>
      <c r="E80" s="14"/>
      <c r="F80" s="14"/>
      <c r="G80" s="14"/>
    </row>
    <row r="81" ht="20.05" customHeight="1">
      <c r="A81" t="s" s="10">
        <v>80</v>
      </c>
      <c r="B81" s="24"/>
      <c r="C81" s="12">
        <v>10137980</v>
      </c>
      <c r="D81" s="12">
        <v>878927</v>
      </c>
      <c r="E81" s="14"/>
      <c r="F81" s="14"/>
      <c r="G81" s="14"/>
    </row>
    <row r="82" ht="20.05" customHeight="1">
      <c r="A82" t="s" s="10">
        <v>81</v>
      </c>
      <c r="B82" s="24"/>
      <c r="C82" s="12">
        <v>431585</v>
      </c>
      <c r="D82" s="12">
        <v>57841</v>
      </c>
      <c r="E82" s="14"/>
      <c r="F82" s="14"/>
      <c r="G82" s="14"/>
    </row>
    <row r="83" ht="20.05" customHeight="1">
      <c r="A83" t="s" s="10">
        <v>82</v>
      </c>
      <c r="B83" s="11">
        <v>5e-06</v>
      </c>
      <c r="C83" s="12">
        <f>$B83*C$81</f>
        <v>50.6899</v>
      </c>
      <c r="D83" s="12">
        <f>$B83*D$81</f>
        <v>4.394635</v>
      </c>
      <c r="E83" s="14"/>
      <c r="F83" s="14"/>
      <c r="G83" s="14"/>
    </row>
    <row r="84" ht="20.05" customHeight="1">
      <c r="A84" s="22"/>
      <c r="B84" s="11">
        <v>1.5e-05</v>
      </c>
      <c r="C84" s="12">
        <f>$B84*C$82</f>
        <v>6.473775</v>
      </c>
      <c r="D84" s="12">
        <f>$B84*D$82</f>
        <v>0.867615</v>
      </c>
      <c r="E84" t="s" s="25">
        <v>83</v>
      </c>
      <c r="F84" s="14"/>
      <c r="G84" s="14"/>
    </row>
    <row r="85" ht="20.05" customHeight="1">
      <c r="A85" s="22"/>
      <c r="B85" s="26">
        <v>0.0153</v>
      </c>
      <c r="C85" s="27">
        <f>C83+C84</f>
        <v>57.163675</v>
      </c>
      <c r="D85" s="27">
        <f>D83+D84</f>
        <v>5.26225</v>
      </c>
      <c r="E85" s="27">
        <f>B85/76</f>
        <v>0.000201315789473684</v>
      </c>
      <c r="F85" s="27">
        <f>C85/76</f>
        <v>0.752153618421053</v>
      </c>
      <c r="G85" s="27">
        <f>D85/76</f>
        <v>0.0692401315789474</v>
      </c>
    </row>
    <row r="86" ht="20.05" customHeight="1">
      <c r="A86" t="s" s="10">
        <v>84</v>
      </c>
      <c r="B86" s="28">
        <f>B85/$B85</f>
        <v>1</v>
      </c>
      <c r="C86" s="29">
        <f>C85/$B85</f>
        <v>3736.187908496730</v>
      </c>
      <c r="D86" s="29">
        <f>D85/$B85</f>
        <v>343.937908496732</v>
      </c>
      <c r="E86" s="14"/>
      <c r="F86" s="14"/>
      <c r="G86" s="14"/>
    </row>
    <row r="87" ht="20.05" customHeight="1">
      <c r="A87" t="s" s="10">
        <v>85</v>
      </c>
      <c r="B87" s="11">
        <v>1.5e-07</v>
      </c>
      <c r="C87" s="12">
        <f>$B87*C$81</f>
        <v>1.520697</v>
      </c>
      <c r="D87" s="12">
        <f>$B87*D$81</f>
        <v>0.13183905</v>
      </c>
      <c r="E87" s="14"/>
      <c r="F87" s="14"/>
      <c r="G87" s="14"/>
    </row>
    <row r="88" ht="20.05" customHeight="1">
      <c r="A88" s="22"/>
      <c r="B88" s="11">
        <v>6e-07</v>
      </c>
      <c r="C88" s="12">
        <f>$B88*C$82</f>
        <v>0.258951</v>
      </c>
      <c r="D88" s="12">
        <f>$B88*D$82</f>
        <v>0.0347046</v>
      </c>
      <c r="E88" t="s" s="25">
        <v>83</v>
      </c>
      <c r="F88" s="14"/>
      <c r="G88" s="14"/>
    </row>
    <row r="89" ht="20.05" customHeight="1">
      <c r="A89" s="22"/>
      <c r="B89" s="26">
        <v>0.0153</v>
      </c>
      <c r="C89" s="27">
        <f>C87+C88</f>
        <v>1.779648</v>
      </c>
      <c r="D89" s="27">
        <f>D87+D88</f>
        <v>0.16654365</v>
      </c>
      <c r="E89" s="27">
        <f>B89/76</f>
        <v>0.000201315789473684</v>
      </c>
      <c r="F89" s="27">
        <f>C89/76</f>
        <v>0.0234164210526316</v>
      </c>
      <c r="G89" s="27">
        <f>D89/76</f>
        <v>0.00219136381578947</v>
      </c>
    </row>
    <row r="90" ht="20.05" customHeight="1">
      <c r="A90" t="s" s="10">
        <v>84</v>
      </c>
      <c r="B90" s="28">
        <f>B89/$B89</f>
        <v>1</v>
      </c>
      <c r="C90" s="29">
        <f>C89/$B89</f>
        <v>116.316862745098</v>
      </c>
      <c r="D90" s="29">
        <f>D89/$B89</f>
        <v>10.8852058823529</v>
      </c>
      <c r="E90" s="14"/>
      <c r="F90" s="14"/>
      <c r="G90" s="14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3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0" customWidth="1"/>
    <col min="6" max="16384" width="16.3516" style="30" customWidth="1"/>
  </cols>
  <sheetData>
    <row r="1" ht="29" customHeight="1">
      <c r="A1" t="s" s="2">
        <v>86</v>
      </c>
      <c r="B1" s="2"/>
      <c r="C1" s="2"/>
      <c r="D1" s="2"/>
      <c r="E1" s="2"/>
    </row>
    <row r="2" ht="44.25" customHeight="1">
      <c r="A2" t="s" s="4">
        <v>87</v>
      </c>
      <c r="B2" t="s" s="4">
        <v>88</v>
      </c>
      <c r="C2" t="s" s="4">
        <v>89</v>
      </c>
      <c r="D2" t="s" s="4">
        <v>90</v>
      </c>
      <c r="E2" t="s" s="4">
        <v>91</v>
      </c>
    </row>
    <row r="3" ht="20.25" customHeight="1">
      <c r="A3" t="s" s="5">
        <v>4</v>
      </c>
      <c r="B3" s="31">
        <v>4524</v>
      </c>
      <c r="C3" s="7">
        <v>732</v>
      </c>
      <c r="D3" s="8">
        <v>0.0336</v>
      </c>
      <c r="E3" s="32">
        <v>0.0011178</v>
      </c>
    </row>
    <row r="4" ht="20.05" customHeight="1">
      <c r="A4" t="s" s="10">
        <v>5</v>
      </c>
      <c r="B4" s="33">
        <v>3882</v>
      </c>
      <c r="C4" s="12">
        <v>597</v>
      </c>
      <c r="D4" s="13">
        <v>0.028365</v>
      </c>
      <c r="E4" s="34">
        <v>0.0009405</v>
      </c>
    </row>
    <row r="5" ht="20.05" customHeight="1">
      <c r="A5" t="s" s="10">
        <v>6</v>
      </c>
      <c r="B5" s="33">
        <v>5576</v>
      </c>
      <c r="C5" s="12">
        <v>714</v>
      </c>
      <c r="D5" s="15">
        <v>0.03859</v>
      </c>
      <c r="E5" s="35">
        <v>0.0012648</v>
      </c>
    </row>
    <row r="6" ht="20.05" customHeight="1">
      <c r="A6" t="s" s="10">
        <v>7</v>
      </c>
      <c r="B6" s="33">
        <v>1775</v>
      </c>
      <c r="C6" s="12">
        <v>637</v>
      </c>
      <c r="D6" s="16">
        <v>0.01843</v>
      </c>
      <c r="E6" s="36">
        <v>0.00064845</v>
      </c>
    </row>
    <row r="7" ht="20.05" customHeight="1">
      <c r="A7" t="s" s="10">
        <v>8</v>
      </c>
      <c r="B7" s="33">
        <v>2212</v>
      </c>
      <c r="C7" s="12">
        <v>802</v>
      </c>
      <c r="D7" s="15">
        <v>0.02309</v>
      </c>
      <c r="E7" s="34">
        <v>0.000813</v>
      </c>
    </row>
    <row r="8" ht="20.05" customHeight="1">
      <c r="A8" t="s" s="10">
        <v>9</v>
      </c>
      <c r="B8" s="33">
        <v>1873</v>
      </c>
      <c r="C8" s="12">
        <v>482</v>
      </c>
      <c r="D8" s="13">
        <v>0.016595</v>
      </c>
      <c r="E8" s="36">
        <v>0.00057015</v>
      </c>
    </row>
    <row r="9" ht="20.05" customHeight="1">
      <c r="A9" t="s" s="10">
        <v>10</v>
      </c>
      <c r="B9" s="33">
        <v>849</v>
      </c>
      <c r="C9" s="12">
        <v>499</v>
      </c>
      <c r="D9" s="15">
        <v>0.01173</v>
      </c>
      <c r="E9" s="37">
        <v>0.00042675</v>
      </c>
    </row>
    <row r="10" ht="20.05" customHeight="1">
      <c r="A10" t="s" s="10">
        <v>11</v>
      </c>
      <c r="B10" s="33">
        <v>2090</v>
      </c>
      <c r="C10" s="12">
        <v>567</v>
      </c>
      <c r="D10" s="13">
        <v>0.018955</v>
      </c>
      <c r="E10" s="34">
        <v>0.0006537</v>
      </c>
    </row>
    <row r="11" ht="20.05" customHeight="1">
      <c r="A11" t="s" s="10">
        <v>12</v>
      </c>
      <c r="B11" s="33">
        <v>6467</v>
      </c>
      <c r="C11" s="12">
        <v>908</v>
      </c>
      <c r="D11" s="13">
        <v>0.045955</v>
      </c>
      <c r="E11" s="34">
        <v>0.00151485</v>
      </c>
    </row>
    <row r="12" ht="20.05" customHeight="1">
      <c r="A12" t="s" s="10">
        <v>13</v>
      </c>
      <c r="B12" s="33">
        <v>4073</v>
      </c>
      <c r="C12" s="12">
        <v>667</v>
      </c>
      <c r="D12" s="15">
        <v>0.03037</v>
      </c>
      <c r="E12" s="36">
        <v>0.00101115</v>
      </c>
    </row>
    <row r="13" ht="20.05" customHeight="1">
      <c r="A13" t="s" s="10">
        <v>14</v>
      </c>
      <c r="B13" s="33">
        <v>2085</v>
      </c>
      <c r="C13" s="12">
        <v>354</v>
      </c>
      <c r="D13" s="13">
        <v>0.015735</v>
      </c>
      <c r="E13" s="34">
        <v>0.0005251500000000001</v>
      </c>
    </row>
    <row r="14" ht="20.05" customHeight="1">
      <c r="A14" t="s" s="10">
        <v>15</v>
      </c>
      <c r="B14" s="33">
        <v>9244</v>
      </c>
      <c r="C14" s="12">
        <v>868</v>
      </c>
      <c r="D14" s="15">
        <v>0.05924</v>
      </c>
      <c r="E14" s="35">
        <v>0.0019074</v>
      </c>
    </row>
    <row r="15" ht="20.05" customHeight="1">
      <c r="A15" t="s" s="10">
        <v>16</v>
      </c>
      <c r="B15" s="33">
        <v>1980</v>
      </c>
      <c r="C15" s="12">
        <v>738</v>
      </c>
      <c r="D15" s="16">
        <v>0.02097</v>
      </c>
      <c r="E15" s="35">
        <v>0.0007398</v>
      </c>
    </row>
    <row r="16" ht="20.05" customHeight="1">
      <c r="A16" t="s" s="10">
        <v>17</v>
      </c>
      <c r="B16" s="33">
        <v>12398</v>
      </c>
      <c r="C16" s="12">
        <v>788</v>
      </c>
      <c r="D16" s="15">
        <v>0.07381</v>
      </c>
      <c r="E16" s="35">
        <v>0.0023325</v>
      </c>
    </row>
    <row r="17" ht="20.05" customHeight="1">
      <c r="A17" t="s" s="10">
        <v>18</v>
      </c>
      <c r="B17" s="33">
        <v>31551</v>
      </c>
      <c r="C17" s="12">
        <v>804</v>
      </c>
      <c r="D17" s="13">
        <v>0.169815</v>
      </c>
      <c r="E17" s="36">
        <v>0.00521505</v>
      </c>
    </row>
    <row r="18" ht="20.05" customHeight="1">
      <c r="A18" t="s" s="10">
        <v>19</v>
      </c>
      <c r="B18" s="33">
        <v>1344</v>
      </c>
      <c r="C18" s="12">
        <v>605</v>
      </c>
      <c r="D18" s="13">
        <v>0.015795</v>
      </c>
      <c r="E18" s="35">
        <v>0.0005646</v>
      </c>
    </row>
    <row r="19" ht="20.05" customHeight="1">
      <c r="A19" t="s" s="10">
        <v>20</v>
      </c>
      <c r="B19" s="33">
        <v>3551</v>
      </c>
      <c r="C19" s="12">
        <v>792</v>
      </c>
      <c r="D19" s="13">
        <v>0.029635</v>
      </c>
      <c r="E19" s="36">
        <v>0.00100785</v>
      </c>
    </row>
    <row r="20" ht="20.05" customHeight="1">
      <c r="A20" t="s" s="10">
        <v>21</v>
      </c>
      <c r="B20" s="33">
        <v>3513</v>
      </c>
      <c r="C20" s="12">
        <v>435</v>
      </c>
      <c r="D20" s="15">
        <v>0.02409</v>
      </c>
      <c r="E20" s="34">
        <v>0.00078795</v>
      </c>
    </row>
    <row r="21" ht="20.05" customHeight="1">
      <c r="A21" t="s" s="10">
        <v>22</v>
      </c>
      <c r="B21" s="33">
        <v>3475</v>
      </c>
      <c r="C21" s="12">
        <v>1026</v>
      </c>
      <c r="D21" s="13">
        <v>0.032765</v>
      </c>
      <c r="E21" s="36">
        <v>0.00113685</v>
      </c>
    </row>
    <row r="22" ht="32.05" customHeight="1">
      <c r="A22" t="s" s="10">
        <v>23</v>
      </c>
      <c r="B22" s="33">
        <v>2440</v>
      </c>
      <c r="C22" s="12">
        <v>601</v>
      </c>
      <c r="D22" s="13">
        <v>0.021215</v>
      </c>
      <c r="E22" s="35">
        <v>0.0007266</v>
      </c>
    </row>
    <row r="23" ht="32.05" customHeight="1">
      <c r="A23" t="s" s="10">
        <v>24</v>
      </c>
      <c r="B23" s="33">
        <v>2919</v>
      </c>
      <c r="C23" s="12">
        <v>672</v>
      </c>
      <c r="D23" s="16">
        <v>0.024675</v>
      </c>
      <c r="E23" s="36">
        <v>0.00084105</v>
      </c>
    </row>
    <row r="24" ht="32.05" customHeight="1">
      <c r="A24" t="s" s="10">
        <v>25</v>
      </c>
      <c r="B24" s="33">
        <v>8640</v>
      </c>
      <c r="C24" s="12">
        <v>956</v>
      </c>
      <c r="D24" s="15">
        <v>0.05754</v>
      </c>
      <c r="E24" s="35">
        <v>0.0018696</v>
      </c>
    </row>
    <row r="25" ht="32.05" customHeight="1">
      <c r="A25" t="s" s="10">
        <v>26</v>
      </c>
      <c r="B25" s="33">
        <v>1538</v>
      </c>
      <c r="C25" s="12">
        <v>422</v>
      </c>
      <c r="D25" s="16">
        <v>0.01402</v>
      </c>
      <c r="E25" s="35">
        <v>0.0004839</v>
      </c>
    </row>
    <row r="26" ht="32.05" customHeight="1">
      <c r="A26" t="s" s="10">
        <v>27</v>
      </c>
      <c r="B26" s="33">
        <v>3435</v>
      </c>
      <c r="C26" s="12">
        <v>736</v>
      </c>
      <c r="D26" s="16">
        <v>0.028215</v>
      </c>
      <c r="E26" s="36">
        <v>0.00095685</v>
      </c>
    </row>
    <row r="27" ht="32.05" customHeight="1">
      <c r="A27" t="s" s="10">
        <v>28</v>
      </c>
      <c r="B27" s="33">
        <v>1827</v>
      </c>
      <c r="C27" s="12">
        <v>611</v>
      </c>
      <c r="D27" s="18">
        <v>0.0183</v>
      </c>
      <c r="E27" s="36">
        <v>0.00064065</v>
      </c>
    </row>
    <row r="28" ht="32.05" customHeight="1">
      <c r="A28" t="s" s="10">
        <v>29</v>
      </c>
      <c r="B28" s="33">
        <v>1686</v>
      </c>
      <c r="C28" s="12">
        <v>633</v>
      </c>
      <c r="D28" s="13">
        <v>0.017925</v>
      </c>
      <c r="E28" s="34">
        <v>0.0006327</v>
      </c>
    </row>
    <row r="29" ht="32.05" customHeight="1">
      <c r="A29" t="s" s="10">
        <v>30</v>
      </c>
      <c r="B29" s="33">
        <v>1703</v>
      </c>
      <c r="C29" s="12">
        <v>844</v>
      </c>
      <c r="D29" s="13">
        <v>0.021175</v>
      </c>
      <c r="E29" s="34">
        <v>0.00076185</v>
      </c>
    </row>
    <row r="30" ht="32.05" customHeight="1">
      <c r="A30" t="s" s="10">
        <v>31</v>
      </c>
      <c r="B30" s="33">
        <v>1770</v>
      </c>
      <c r="C30" s="12">
        <v>669</v>
      </c>
      <c r="D30" s="13">
        <v>0.018885</v>
      </c>
      <c r="E30" s="35">
        <v>0.0006669</v>
      </c>
    </row>
    <row r="31" ht="32.05" customHeight="1">
      <c r="A31" t="s" s="10">
        <v>32</v>
      </c>
      <c r="B31" s="33">
        <v>1163</v>
      </c>
      <c r="C31" s="12">
        <v>483</v>
      </c>
      <c r="D31" s="16">
        <v>0.01306</v>
      </c>
      <c r="E31" s="36">
        <v>0.00046425</v>
      </c>
    </row>
    <row r="32" ht="32.05" customHeight="1">
      <c r="A32" t="s" s="10">
        <v>33</v>
      </c>
      <c r="B32" s="33">
        <v>1600</v>
      </c>
      <c r="C32" s="12">
        <v>627</v>
      </c>
      <c r="D32" s="13">
        <v>0.017405</v>
      </c>
      <c r="E32" s="34">
        <v>0.0006162</v>
      </c>
    </row>
    <row r="33" ht="32.05" customHeight="1">
      <c r="A33" t="s" s="10">
        <v>34</v>
      </c>
      <c r="B33" s="33">
        <v>1151</v>
      </c>
      <c r="C33" s="12">
        <v>656</v>
      </c>
      <c r="D33" s="16">
        <v>0.015595</v>
      </c>
      <c r="E33" s="34">
        <v>0.00056625</v>
      </c>
    </row>
    <row r="34" ht="32.05" customHeight="1">
      <c r="A34" t="s" s="10">
        <v>35</v>
      </c>
      <c r="B34" s="33">
        <v>2318</v>
      </c>
      <c r="C34" s="12">
        <v>608</v>
      </c>
      <c r="D34" s="15">
        <v>0.02071</v>
      </c>
      <c r="E34" s="35">
        <v>0.0007125</v>
      </c>
    </row>
    <row r="35" ht="32.05" customHeight="1">
      <c r="A35" t="s" s="10">
        <v>36</v>
      </c>
      <c r="B35" s="33">
        <v>2140</v>
      </c>
      <c r="C35" s="12">
        <v>875</v>
      </c>
      <c r="D35" s="13">
        <v>0.023825</v>
      </c>
      <c r="E35" s="13">
        <v>0.000846</v>
      </c>
    </row>
    <row r="36" ht="32.05" customHeight="1">
      <c r="A36" t="s" s="10">
        <v>37</v>
      </c>
      <c r="B36" s="33">
        <v>2746</v>
      </c>
      <c r="C36" s="12">
        <v>831</v>
      </c>
      <c r="D36" s="16">
        <v>0.026195</v>
      </c>
      <c r="E36" s="35">
        <v>0.0009105</v>
      </c>
    </row>
    <row r="37" ht="32.05" customHeight="1">
      <c r="A37" t="s" s="10">
        <v>38</v>
      </c>
      <c r="B37" s="33">
        <v>3147</v>
      </c>
      <c r="C37" s="12">
        <v>906</v>
      </c>
      <c r="D37" s="16">
        <v>0.029325</v>
      </c>
      <c r="E37" s="34">
        <v>0.00101565</v>
      </c>
    </row>
    <row r="38" ht="32.05" customHeight="1">
      <c r="A38" t="s" s="10">
        <v>39</v>
      </c>
      <c r="B38" s="33">
        <v>2791</v>
      </c>
      <c r="C38" s="12">
        <v>934</v>
      </c>
      <c r="D38" s="13">
        <v>0.027965</v>
      </c>
      <c r="E38" s="36">
        <v>0.00097905</v>
      </c>
    </row>
    <row r="39" ht="32.05" customHeight="1">
      <c r="A39" t="s" s="10">
        <v>40</v>
      </c>
      <c r="B39" s="33">
        <v>2054</v>
      </c>
      <c r="C39" s="12">
        <v>785</v>
      </c>
      <c r="D39" s="16">
        <v>0.022045</v>
      </c>
      <c r="E39" s="35">
        <v>0.0007791</v>
      </c>
    </row>
    <row r="40" ht="32.05" customHeight="1">
      <c r="A40" t="s" s="10">
        <v>41</v>
      </c>
      <c r="B40" s="33">
        <v>1884</v>
      </c>
      <c r="C40" s="12">
        <v>1043</v>
      </c>
      <c r="D40" s="13">
        <v>0.025065</v>
      </c>
      <c r="E40" s="35">
        <v>0.0009084</v>
      </c>
    </row>
    <row r="41" ht="20.05" customHeight="1">
      <c r="A41" t="s" s="10">
        <v>42</v>
      </c>
      <c r="B41" s="33">
        <v>5161</v>
      </c>
      <c r="C41" s="12">
        <v>452</v>
      </c>
      <c r="D41" s="13">
        <v>0.032585</v>
      </c>
      <c r="E41" s="36">
        <v>0.00104535</v>
      </c>
    </row>
    <row r="42" ht="20.05" customHeight="1">
      <c r="A42" t="s" s="10">
        <v>43</v>
      </c>
      <c r="B42" s="33">
        <v>61463</v>
      </c>
      <c r="C42" s="12">
        <v>990</v>
      </c>
      <c r="D42" s="13">
        <v>0.322165</v>
      </c>
      <c r="E42" s="36">
        <v>0.00981345</v>
      </c>
    </row>
    <row r="43" ht="20.05" customHeight="1">
      <c r="A43" t="s" s="10">
        <v>44</v>
      </c>
      <c r="B43" s="33">
        <v>13935</v>
      </c>
      <c r="C43" s="12">
        <v>846</v>
      </c>
      <c r="D43" s="13">
        <v>0.08236499999999999</v>
      </c>
      <c r="E43" s="36">
        <v>0.00259785</v>
      </c>
    </row>
    <row r="44" ht="20.05" customHeight="1">
      <c r="A44" t="s" s="10">
        <v>45</v>
      </c>
      <c r="B44" s="33">
        <v>4627</v>
      </c>
      <c r="C44" s="12">
        <v>866</v>
      </c>
      <c r="D44" s="16">
        <v>0.036125</v>
      </c>
      <c r="E44" s="36">
        <v>0.00121365</v>
      </c>
    </row>
    <row r="45" ht="20.05" customHeight="1">
      <c r="A45" t="s" s="10">
        <v>46</v>
      </c>
      <c r="B45" s="33">
        <v>3677</v>
      </c>
      <c r="C45" s="12">
        <v>576</v>
      </c>
      <c r="D45" s="13">
        <v>0.027025</v>
      </c>
      <c r="E45" s="36">
        <v>0.00089715</v>
      </c>
    </row>
    <row r="46" ht="20.05" customHeight="1">
      <c r="A46" t="s" s="10">
        <v>47</v>
      </c>
      <c r="B46" s="33">
        <v>7336</v>
      </c>
      <c r="C46" s="12">
        <v>820</v>
      </c>
      <c r="D46" s="15">
        <v>0.04898</v>
      </c>
      <c r="E46" s="35">
        <v>0.0015924</v>
      </c>
    </row>
    <row r="47" ht="20.05" customHeight="1">
      <c r="A47" t="s" s="10">
        <v>48</v>
      </c>
      <c r="B47" s="33">
        <v>82003</v>
      </c>
      <c r="C47" s="12">
        <v>596</v>
      </c>
      <c r="D47" s="13">
        <v>0.418955</v>
      </c>
      <c r="E47" s="16">
        <v>0.01265805</v>
      </c>
    </row>
    <row r="48" ht="20.05" customHeight="1">
      <c r="A48" t="s" s="10">
        <v>49</v>
      </c>
      <c r="B48" s="33">
        <v>112291</v>
      </c>
      <c r="C48" s="12">
        <v>1116</v>
      </c>
      <c r="D48" s="13">
        <v>0.578195</v>
      </c>
      <c r="E48" s="16">
        <v>0.01751325</v>
      </c>
    </row>
    <row r="49" ht="20.05" customHeight="1">
      <c r="A49" t="s" s="10">
        <v>50</v>
      </c>
      <c r="B49" s="33">
        <v>4235</v>
      </c>
      <c r="C49" s="12">
        <v>1058</v>
      </c>
      <c r="D49" s="13">
        <v>0.037045</v>
      </c>
      <c r="E49" s="36">
        <v>0.00127005</v>
      </c>
    </row>
    <row r="50" ht="20.05" customHeight="1">
      <c r="A50" t="s" s="10">
        <v>51</v>
      </c>
      <c r="B50" s="33">
        <v>2260</v>
      </c>
      <c r="C50" s="12">
        <v>855</v>
      </c>
      <c r="D50" s="13">
        <v>0.024125</v>
      </c>
      <c r="E50" s="13">
        <v>0.000852</v>
      </c>
    </row>
    <row r="51" ht="20.05" customHeight="1">
      <c r="A51" t="s" s="10">
        <v>52</v>
      </c>
      <c r="B51" s="33">
        <v>1501</v>
      </c>
      <c r="C51" s="12">
        <v>563</v>
      </c>
      <c r="D51" s="15">
        <v>0.01595</v>
      </c>
      <c r="E51" s="36">
        <v>0.00056295</v>
      </c>
    </row>
    <row r="52" ht="20.05" customHeight="1">
      <c r="A52" t="s" s="10">
        <v>53</v>
      </c>
      <c r="B52" s="33">
        <v>3601</v>
      </c>
      <c r="C52" s="12">
        <v>669</v>
      </c>
      <c r="D52" s="16">
        <v>0.02804</v>
      </c>
      <c r="E52" s="36">
        <v>0.00094155</v>
      </c>
    </row>
    <row r="53" ht="20.05" customHeight="1">
      <c r="A53" t="s" s="10">
        <v>54</v>
      </c>
      <c r="B53" s="33">
        <v>5152</v>
      </c>
      <c r="C53" s="12">
        <v>871</v>
      </c>
      <c r="D53" s="13">
        <v>0.038825</v>
      </c>
      <c r="E53" s="35">
        <v>0.0012954</v>
      </c>
    </row>
    <row r="54" ht="20.05" customHeight="1">
      <c r="A54" t="s" s="10">
        <v>55</v>
      </c>
      <c r="B54" s="33">
        <v>8230</v>
      </c>
      <c r="C54" s="12">
        <v>1058</v>
      </c>
      <c r="D54" s="15">
        <v>0.05702</v>
      </c>
      <c r="E54" s="35">
        <v>0.0018693</v>
      </c>
    </row>
    <row r="55" ht="20.05" customHeight="1">
      <c r="A55" t="s" s="10">
        <v>56</v>
      </c>
      <c r="B55" s="33">
        <v>10971</v>
      </c>
      <c r="C55" s="12">
        <v>983</v>
      </c>
      <c r="D55" s="21">
        <v>0.0696</v>
      </c>
      <c r="E55" s="36">
        <v>0.00223545</v>
      </c>
    </row>
    <row r="56" ht="20.05" customHeight="1">
      <c r="A56" t="s" s="10">
        <v>57</v>
      </c>
      <c r="B56" s="33">
        <v>2196</v>
      </c>
      <c r="C56" s="12">
        <v>540</v>
      </c>
      <c r="D56" s="15">
        <v>0.01908</v>
      </c>
      <c r="E56" s="34">
        <v>0.0006534000000000001</v>
      </c>
    </row>
    <row r="57" ht="20.05" customHeight="1">
      <c r="A57" t="s" s="10">
        <v>58</v>
      </c>
      <c r="B57" s="33">
        <v>1459</v>
      </c>
      <c r="C57" s="12">
        <v>874</v>
      </c>
      <c r="D57" s="13">
        <v>0.020405</v>
      </c>
      <c r="E57" s="36">
        <v>0.00074325</v>
      </c>
    </row>
    <row r="58" ht="32.05" customHeight="1">
      <c r="A58" t="s" s="10">
        <v>59</v>
      </c>
      <c r="B58" s="33">
        <v>26525</v>
      </c>
      <c r="C58" s="12">
        <v>506</v>
      </c>
      <c r="D58" s="21">
        <v>0.140215</v>
      </c>
      <c r="E58" s="36">
        <v>0.00428235</v>
      </c>
    </row>
    <row r="59" ht="32.05" customHeight="1">
      <c r="A59" t="s" s="10">
        <v>60</v>
      </c>
      <c r="B59" s="33">
        <v>62626</v>
      </c>
      <c r="C59" s="12">
        <v>1183</v>
      </c>
      <c r="D59" s="21">
        <v>0.330875</v>
      </c>
      <c r="E59" s="35">
        <v>0.0101037</v>
      </c>
    </row>
    <row r="60" ht="32.05" customHeight="1">
      <c r="A60" t="s" s="10">
        <v>61</v>
      </c>
      <c r="B60" s="33">
        <v>20976</v>
      </c>
      <c r="C60" s="12">
        <v>955</v>
      </c>
      <c r="D60" s="21">
        <v>0.119205</v>
      </c>
      <c r="E60" s="34">
        <v>0.0037194</v>
      </c>
    </row>
    <row r="61" ht="32.05" customHeight="1">
      <c r="A61" t="s" s="10">
        <v>62</v>
      </c>
      <c r="B61" s="33">
        <v>67488</v>
      </c>
      <c r="C61" s="12">
        <v>970</v>
      </c>
      <c r="D61" s="15">
        <v>0.35199</v>
      </c>
      <c r="E61" s="16">
        <v>0.0107052</v>
      </c>
    </row>
    <row r="62" ht="32.05" customHeight="1">
      <c r="A62" t="s" s="10">
        <v>63</v>
      </c>
      <c r="B62" s="33">
        <v>10085</v>
      </c>
      <c r="C62" s="12">
        <v>870</v>
      </c>
      <c r="D62" s="13">
        <v>0.063475</v>
      </c>
      <c r="E62" s="36">
        <v>0.00203475</v>
      </c>
    </row>
    <row r="63" ht="32.05" customHeight="1">
      <c r="A63" t="s" s="10">
        <v>64</v>
      </c>
      <c r="B63" s="33">
        <v>96703</v>
      </c>
      <c r="C63" s="12">
        <v>837</v>
      </c>
      <c r="D63" s="15">
        <v>0.49607</v>
      </c>
      <c r="E63" s="16">
        <v>0.01500765</v>
      </c>
    </row>
    <row r="64" ht="20.05" customHeight="1">
      <c r="A64" t="s" s="10">
        <v>65</v>
      </c>
      <c r="B64" s="33">
        <v>14567</v>
      </c>
      <c r="C64" s="12">
        <v>966</v>
      </c>
      <c r="D64" s="21">
        <v>0.087325</v>
      </c>
      <c r="E64" s="36">
        <v>0.00276465</v>
      </c>
    </row>
    <row r="65" ht="20.05" customHeight="1">
      <c r="A65" t="s" s="10">
        <v>66</v>
      </c>
      <c r="B65" s="33">
        <v>2831</v>
      </c>
      <c r="C65" s="12">
        <v>848</v>
      </c>
      <c r="D65" s="16">
        <v>0.026875</v>
      </c>
      <c r="E65" s="36">
        <v>0.0009334499999999999</v>
      </c>
    </row>
    <row r="66" ht="20.05" customHeight="1">
      <c r="A66" t="s" s="10">
        <v>67</v>
      </c>
      <c r="B66" s="33">
        <v>19568</v>
      </c>
      <c r="C66" s="12">
        <v>932</v>
      </c>
      <c r="D66" s="21">
        <v>0.11182</v>
      </c>
      <c r="E66" s="35">
        <v>0.0034944</v>
      </c>
    </row>
    <row r="67" ht="20.05" customHeight="1">
      <c r="A67" t="s" s="10">
        <v>68</v>
      </c>
      <c r="B67" s="33">
        <v>25563</v>
      </c>
      <c r="C67" s="12">
        <v>752</v>
      </c>
      <c r="D67" s="21">
        <v>0.139095</v>
      </c>
      <c r="E67" s="16">
        <v>0.00428565</v>
      </c>
    </row>
    <row r="68" ht="20.05" customHeight="1">
      <c r="A68" t="s" s="10">
        <v>69</v>
      </c>
      <c r="B68" s="33">
        <v>1590</v>
      </c>
      <c r="C68" s="12">
        <v>695</v>
      </c>
      <c r="D68" s="16">
        <v>0.018375</v>
      </c>
      <c r="E68" s="35">
        <v>0.0006555</v>
      </c>
    </row>
    <row r="69" ht="20.05" customHeight="1">
      <c r="A69" t="s" s="10">
        <v>70</v>
      </c>
      <c r="B69" s="33">
        <v>2833</v>
      </c>
      <c r="C69" s="12">
        <v>604</v>
      </c>
      <c r="D69" s="16">
        <v>0.023225</v>
      </c>
      <c r="E69" s="36">
        <v>0.00078735</v>
      </c>
    </row>
    <row r="70" ht="20.05" customHeight="1">
      <c r="A70" t="s" s="10">
        <v>71</v>
      </c>
      <c r="B70" s="33">
        <v>3259</v>
      </c>
      <c r="C70" s="12">
        <v>756</v>
      </c>
      <c r="D70" s="13">
        <v>0.027635</v>
      </c>
      <c r="E70" s="36">
        <v>0.00094245</v>
      </c>
    </row>
    <row r="71" ht="20.05" customHeight="1">
      <c r="A71" t="s" s="10">
        <v>72</v>
      </c>
      <c r="B71" s="33">
        <v>2871</v>
      </c>
      <c r="C71" s="12">
        <v>896</v>
      </c>
      <c r="D71" s="13">
        <v>0.027795</v>
      </c>
      <c r="E71" s="34">
        <v>0.00096825</v>
      </c>
    </row>
    <row r="72" ht="20.05" customHeight="1">
      <c r="A72" t="s" s="10">
        <v>73</v>
      </c>
      <c r="B72" s="33">
        <v>2149</v>
      </c>
      <c r="C72" s="12">
        <v>673</v>
      </c>
      <c r="D72" s="15">
        <v>0.02084</v>
      </c>
      <c r="E72" s="34">
        <v>0.00072615</v>
      </c>
    </row>
    <row r="73" ht="20.05" customHeight="1">
      <c r="A73" t="s" s="10">
        <v>74</v>
      </c>
      <c r="B73" s="33">
        <v>7827</v>
      </c>
      <c r="C73" s="12">
        <v>654</v>
      </c>
      <c r="D73" s="13">
        <v>0.048945</v>
      </c>
      <c r="E73" s="36">
        <v>0.00156645</v>
      </c>
    </row>
    <row r="74" ht="20.05" customHeight="1">
      <c r="A74" t="s" s="10">
        <v>75</v>
      </c>
      <c r="B74" s="33">
        <v>11941</v>
      </c>
      <c r="C74" s="12">
        <v>781</v>
      </c>
      <c r="D74" s="21">
        <v>0.07142</v>
      </c>
      <c r="E74" s="34">
        <v>0.00225975</v>
      </c>
    </row>
    <row r="75" ht="20.05" customHeight="1">
      <c r="A75" t="s" s="10">
        <v>76</v>
      </c>
      <c r="B75" s="33">
        <v>1932</v>
      </c>
      <c r="C75" s="12">
        <v>886</v>
      </c>
      <c r="D75" s="16">
        <v>0.02295</v>
      </c>
      <c r="E75" s="35">
        <v>0.0008214</v>
      </c>
    </row>
    <row r="76" ht="20.05" customHeight="1">
      <c r="A76" t="s" s="10">
        <v>77</v>
      </c>
      <c r="B76" s="33">
        <v>2908</v>
      </c>
      <c r="C76" s="12">
        <v>834</v>
      </c>
      <c r="D76" s="15">
        <v>0.02705</v>
      </c>
      <c r="E76" s="35">
        <v>0.0009366</v>
      </c>
    </row>
    <row r="77" ht="20.05" customHeight="1">
      <c r="A77" t="s" s="10">
        <v>78</v>
      </c>
      <c r="B77" s="33">
        <v>8668</v>
      </c>
      <c r="C77" s="12">
        <v>847</v>
      </c>
      <c r="D77" s="16">
        <v>0.056045</v>
      </c>
      <c r="E77" s="35">
        <v>0.0018084</v>
      </c>
    </row>
    <row r="78" ht="20.05" customHeight="1">
      <c r="A78" t="s" s="10">
        <v>79</v>
      </c>
      <c r="B78" s="33">
        <v>6505</v>
      </c>
      <c r="C78" s="12">
        <v>756</v>
      </c>
      <c r="D78" s="21">
        <v>0.043865</v>
      </c>
      <c r="E78" s="34">
        <v>0.00142935</v>
      </c>
    </row>
    <row r="79" ht="20.05" customHeight="1">
      <c r="A79" s="22"/>
      <c r="B79" s="11">
        <f>SUM(B3:B78)</f>
        <v>878927</v>
      </c>
      <c r="C79" s="23">
        <f>SUM(C3:C78)</f>
        <v>57841</v>
      </c>
      <c r="D79" s="14"/>
      <c r="E79" s="14"/>
    </row>
    <row r="80" ht="20.05" customHeight="1">
      <c r="A80" s="22"/>
      <c r="B80" s="38"/>
      <c r="C80" s="14"/>
      <c r="D80" s="14"/>
      <c r="E80" s="14"/>
    </row>
    <row r="81" ht="20.05" customHeight="1">
      <c r="A81" s="22"/>
      <c r="B81" s="38"/>
      <c r="C81" s="14"/>
      <c r="D81" s="14"/>
      <c r="E81" s="14"/>
    </row>
    <row r="82" ht="20.05" customHeight="1">
      <c r="A82" s="22"/>
      <c r="B82" s="38"/>
      <c r="C82" s="14"/>
      <c r="D82" s="14"/>
      <c r="E82" s="14"/>
    </row>
    <row r="83" ht="20.05" customHeight="1">
      <c r="A83" s="22"/>
      <c r="B83" s="38"/>
      <c r="C83" s="14"/>
      <c r="D83" s="14"/>
      <c r="E83" s="14"/>
    </row>
    <row r="84" ht="20.05" customHeight="1">
      <c r="A84" s="22"/>
      <c r="B84" s="38"/>
      <c r="C84" s="14"/>
      <c r="D84" s="14"/>
      <c r="E84" s="14"/>
    </row>
    <row r="85" ht="20.05" customHeight="1">
      <c r="A85" s="22"/>
      <c r="B85" s="38"/>
      <c r="C85" s="14"/>
      <c r="D85" s="14"/>
      <c r="E85" s="14"/>
    </row>
    <row r="86" ht="20.05" customHeight="1">
      <c r="A86" s="22"/>
      <c r="B86" s="38"/>
      <c r="C86" s="14"/>
      <c r="D86" s="14"/>
      <c r="E86" s="14"/>
    </row>
    <row r="87" ht="20.05" customHeight="1">
      <c r="A87" s="22"/>
      <c r="B87" s="38"/>
      <c r="C87" s="14"/>
      <c r="D87" s="14"/>
      <c r="E87" s="14"/>
    </row>
    <row r="88" ht="20.05" customHeight="1">
      <c r="A88" s="22"/>
      <c r="B88" s="38"/>
      <c r="C88" s="14"/>
      <c r="D88" s="14"/>
      <c r="E88" s="14"/>
    </row>
    <row r="89" ht="20.05" customHeight="1">
      <c r="A89" s="22"/>
      <c r="B89" s="38"/>
      <c r="C89" s="14"/>
      <c r="D89" s="14"/>
      <c r="E89" s="14"/>
    </row>
    <row r="90" ht="20.05" customHeight="1">
      <c r="A90" s="22"/>
      <c r="B90" s="38"/>
      <c r="C90" s="14"/>
      <c r="D90" s="14"/>
      <c r="E90" s="14"/>
    </row>
    <row r="91" ht="20.05" customHeight="1">
      <c r="A91" s="22"/>
      <c r="B91" s="38"/>
      <c r="C91" s="14"/>
      <c r="D91" s="14"/>
      <c r="E91" s="14"/>
    </row>
    <row r="92" ht="20.05" customHeight="1">
      <c r="A92" s="22"/>
      <c r="B92" s="38"/>
      <c r="C92" s="14"/>
      <c r="D92" s="14"/>
      <c r="E92" s="14"/>
    </row>
    <row r="93" ht="20.05" customHeight="1">
      <c r="A93" s="22"/>
      <c r="B93" s="38"/>
      <c r="C93" s="14"/>
      <c r="D93" s="14"/>
      <c r="E93" s="14"/>
    </row>
    <row r="94" ht="20.05" customHeight="1">
      <c r="A94" s="22"/>
      <c r="B94" s="38"/>
      <c r="C94" s="14"/>
      <c r="D94" s="14"/>
      <c r="E94" s="14"/>
    </row>
    <row r="95" ht="20.05" customHeight="1">
      <c r="A95" s="22"/>
      <c r="B95" s="38"/>
      <c r="C95" s="14"/>
      <c r="D95" s="14"/>
      <c r="E95" s="14"/>
    </row>
    <row r="96" ht="20.05" customHeight="1">
      <c r="A96" s="22"/>
      <c r="B96" s="38"/>
      <c r="C96" s="14"/>
      <c r="D96" s="14"/>
      <c r="E96" s="14"/>
    </row>
    <row r="97" ht="20.05" customHeight="1">
      <c r="A97" s="22"/>
      <c r="B97" s="38"/>
      <c r="C97" s="14"/>
      <c r="D97" s="14"/>
      <c r="E97" s="14"/>
    </row>
    <row r="98" ht="20.05" customHeight="1">
      <c r="A98" s="22"/>
      <c r="B98" s="38"/>
      <c r="C98" s="14"/>
      <c r="D98" s="14"/>
      <c r="E98" s="14"/>
    </row>
    <row r="99" ht="20.05" customHeight="1">
      <c r="A99" s="22"/>
      <c r="B99" s="38"/>
      <c r="C99" s="14"/>
      <c r="D99" s="14"/>
      <c r="E99" s="14"/>
    </row>
    <row r="100" ht="20.05" customHeight="1">
      <c r="A100" s="22"/>
      <c r="B100" s="38"/>
      <c r="C100" s="14"/>
      <c r="D100" s="14"/>
      <c r="E100" s="14"/>
    </row>
    <row r="101" ht="20.05" customHeight="1">
      <c r="A101" s="22"/>
      <c r="B101" s="38"/>
      <c r="C101" s="14"/>
      <c r="D101" s="14"/>
      <c r="E101" s="14"/>
    </row>
    <row r="102" ht="20.05" customHeight="1">
      <c r="A102" s="22"/>
      <c r="B102" s="38"/>
      <c r="C102" s="14"/>
      <c r="D102" s="14"/>
      <c r="E102" s="14"/>
    </row>
    <row r="103" ht="20.05" customHeight="1">
      <c r="A103" s="22"/>
      <c r="B103" s="38"/>
      <c r="C103" s="14"/>
      <c r="D103" s="14"/>
      <c r="E103" s="14"/>
    </row>
    <row r="104" ht="20.05" customHeight="1">
      <c r="A104" s="22"/>
      <c r="B104" s="38"/>
      <c r="C104" s="14"/>
      <c r="D104" s="14"/>
      <c r="E104" s="14"/>
    </row>
    <row r="105" ht="20.05" customHeight="1">
      <c r="A105" s="22"/>
      <c r="B105" s="38"/>
      <c r="C105" s="14"/>
      <c r="D105" s="14"/>
      <c r="E105" s="14"/>
    </row>
    <row r="106" ht="20.05" customHeight="1">
      <c r="A106" s="22"/>
      <c r="B106" s="38"/>
      <c r="C106" s="14"/>
      <c r="D106" s="14"/>
      <c r="E106" s="14"/>
    </row>
    <row r="107" ht="20.05" customHeight="1">
      <c r="A107" s="22"/>
      <c r="B107" s="38"/>
      <c r="C107" s="14"/>
      <c r="D107" s="14"/>
      <c r="E107" s="14"/>
    </row>
    <row r="108" ht="20.05" customHeight="1">
      <c r="A108" s="22"/>
      <c r="B108" s="38"/>
      <c r="C108" s="14"/>
      <c r="D108" s="14"/>
      <c r="E108" s="14"/>
    </row>
    <row r="109" ht="20.05" customHeight="1">
      <c r="A109" s="22"/>
      <c r="B109" s="38"/>
      <c r="C109" s="14"/>
      <c r="D109" s="14"/>
      <c r="E109" s="14"/>
    </row>
    <row r="110" ht="20.05" customHeight="1">
      <c r="A110" s="22"/>
      <c r="B110" s="38"/>
      <c r="C110" s="14"/>
      <c r="D110" s="14"/>
      <c r="E110" s="14"/>
    </row>
    <row r="111" ht="20.05" customHeight="1">
      <c r="A111" s="22"/>
      <c r="B111" s="38"/>
      <c r="C111" s="14"/>
      <c r="D111" s="14"/>
      <c r="E111" s="14"/>
    </row>
    <row r="112" ht="20.05" customHeight="1">
      <c r="A112" s="22"/>
      <c r="B112" s="38"/>
      <c r="C112" s="14"/>
      <c r="D112" s="14"/>
      <c r="E112" s="14"/>
    </row>
    <row r="113" ht="20.05" customHeight="1">
      <c r="A113" s="22"/>
      <c r="B113" s="38"/>
      <c r="C113" s="14"/>
      <c r="D113" s="14"/>
      <c r="E113" s="14"/>
    </row>
    <row r="114" ht="20.05" customHeight="1">
      <c r="A114" s="22"/>
      <c r="B114" s="38"/>
      <c r="C114" s="14"/>
      <c r="D114" s="14"/>
      <c r="E114" s="14"/>
    </row>
    <row r="115" ht="20.05" customHeight="1">
      <c r="A115" s="22"/>
      <c r="B115" s="38"/>
      <c r="C115" s="14"/>
      <c r="D115" s="14"/>
      <c r="E115" s="14"/>
    </row>
    <row r="116" ht="20.05" customHeight="1">
      <c r="A116" s="22"/>
      <c r="B116" s="38"/>
      <c r="C116" s="14"/>
      <c r="D116" s="14"/>
      <c r="E116" s="14"/>
    </row>
    <row r="117" ht="20.05" customHeight="1">
      <c r="A117" s="22"/>
      <c r="B117" s="38"/>
      <c r="C117" s="14"/>
      <c r="D117" s="14"/>
      <c r="E117" s="14"/>
    </row>
    <row r="118" ht="20.05" customHeight="1">
      <c r="A118" s="22"/>
      <c r="B118" s="38"/>
      <c r="C118" s="14"/>
      <c r="D118" s="14"/>
      <c r="E118" s="14"/>
    </row>
    <row r="119" ht="20.05" customHeight="1">
      <c r="A119" s="22"/>
      <c r="B119" s="38"/>
      <c r="C119" s="14"/>
      <c r="D119" s="14"/>
      <c r="E119" s="14"/>
    </row>
    <row r="120" ht="20.05" customHeight="1">
      <c r="A120" s="22"/>
      <c r="B120" s="38"/>
      <c r="C120" s="14"/>
      <c r="D120" s="14"/>
      <c r="E120" s="14"/>
    </row>
    <row r="121" ht="20.05" customHeight="1">
      <c r="A121" s="22"/>
      <c r="B121" s="38"/>
      <c r="C121" s="14"/>
      <c r="D121" s="14"/>
      <c r="E121" s="14"/>
    </row>
    <row r="122" ht="20.05" customHeight="1">
      <c r="A122" s="22"/>
      <c r="B122" s="38"/>
      <c r="C122" s="14"/>
      <c r="D122" s="14"/>
      <c r="E122" s="14"/>
    </row>
    <row r="123" ht="20.05" customHeight="1">
      <c r="A123" s="22"/>
      <c r="B123" s="38"/>
      <c r="C123" s="14"/>
      <c r="D123" s="14"/>
      <c r="E123" s="14"/>
    </row>
    <row r="124" ht="20.05" customHeight="1">
      <c r="A124" s="22"/>
      <c r="B124" s="38"/>
      <c r="C124" s="14"/>
      <c r="D124" s="14"/>
      <c r="E124" s="14"/>
    </row>
    <row r="125" ht="20.05" customHeight="1">
      <c r="A125" s="22"/>
      <c r="B125" s="38"/>
      <c r="C125" s="14"/>
      <c r="D125" s="14"/>
      <c r="E125" s="14"/>
    </row>
    <row r="126" ht="20.05" customHeight="1">
      <c r="A126" s="22"/>
      <c r="B126" s="38"/>
      <c r="C126" s="14"/>
      <c r="D126" s="14"/>
      <c r="E126" s="14"/>
    </row>
    <row r="127" ht="20.05" customHeight="1">
      <c r="A127" s="22"/>
      <c r="B127" s="38"/>
      <c r="C127" s="14"/>
      <c r="D127" s="14"/>
      <c r="E127" s="14"/>
    </row>
    <row r="128" ht="20.05" customHeight="1">
      <c r="A128" s="22"/>
      <c r="B128" s="38"/>
      <c r="C128" s="14"/>
      <c r="D128" s="14"/>
      <c r="E128" s="14"/>
    </row>
    <row r="129" ht="20.05" customHeight="1">
      <c r="A129" s="22"/>
      <c r="B129" s="38"/>
      <c r="C129" s="14"/>
      <c r="D129" s="14"/>
      <c r="E129" s="14"/>
    </row>
    <row r="130" ht="20.05" customHeight="1">
      <c r="A130" s="22"/>
      <c r="B130" s="38"/>
      <c r="C130" s="14"/>
      <c r="D130" s="14"/>
      <c r="E130" s="14"/>
    </row>
    <row r="131" ht="20.05" customHeight="1">
      <c r="A131" s="22"/>
      <c r="B131" s="38"/>
      <c r="C131" s="14"/>
      <c r="D131" s="14"/>
      <c r="E131" s="14"/>
    </row>
    <row r="132" ht="20.05" customHeight="1">
      <c r="A132" s="22"/>
      <c r="B132" s="38"/>
      <c r="C132" s="14"/>
      <c r="D132" s="14"/>
      <c r="E132" s="14"/>
    </row>
    <row r="133" ht="20.05" customHeight="1">
      <c r="A133" s="22"/>
      <c r="B133" s="38"/>
      <c r="C133" s="14"/>
      <c r="D133" s="14"/>
      <c r="E133" s="14"/>
    </row>
    <row r="134" ht="20.05" customHeight="1">
      <c r="A134" s="22"/>
      <c r="B134" s="38"/>
      <c r="C134" s="14"/>
      <c r="D134" s="14"/>
      <c r="E134" s="14"/>
    </row>
    <row r="135" ht="20.05" customHeight="1">
      <c r="A135" s="22"/>
      <c r="B135" s="38"/>
      <c r="C135" s="14"/>
      <c r="D135" s="14"/>
      <c r="E135" s="14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