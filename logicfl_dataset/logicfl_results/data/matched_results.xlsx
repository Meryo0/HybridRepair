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d387652410f671d/02_연구/Papers/Logic FL - FSE 2025/data/"/>
    </mc:Choice>
  </mc:AlternateContent>
  <xr:revisionPtr revIDLastSave="131" documentId="8_{29742F3C-F056-C347-ADD6-6E9072AFA3F9}" xr6:coauthVersionLast="47" xr6:coauthVersionMax="47" xr10:uidLastSave="{15B37132-8096-D54A-8006-329460B9646E}"/>
  <bookViews>
    <workbookView xWindow="13220" yWindow="3120" windowWidth="33720" windowHeight="22800" activeTab="1" xr2:uid="{64965940-2BB3-9149-86B3-18E5560F1771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2" i="1"/>
  <c r="F3" i="1"/>
  <c r="G3" i="1"/>
  <c r="F4" i="1"/>
  <c r="G4" i="1"/>
  <c r="F5" i="1"/>
  <c r="G5" i="1"/>
  <c r="F6" i="1"/>
  <c r="G6" i="1"/>
  <c r="F7" i="1"/>
  <c r="G7" i="1"/>
  <c r="F8" i="1"/>
  <c r="G8" i="1"/>
  <c r="F9" i="1"/>
  <c r="G9" i="1"/>
  <c r="F10" i="1"/>
  <c r="G10" i="1"/>
  <c r="F11" i="1"/>
  <c r="G11" i="1"/>
  <c r="F12" i="1"/>
  <c r="G12" i="1"/>
  <c r="F13" i="1"/>
  <c r="G13" i="1"/>
  <c r="F14" i="1"/>
  <c r="G14" i="1"/>
  <c r="F15" i="1"/>
  <c r="G15" i="1"/>
  <c r="F16" i="1"/>
  <c r="G16" i="1"/>
  <c r="F17" i="1"/>
  <c r="G17" i="1"/>
  <c r="F18" i="1"/>
  <c r="G18" i="1"/>
  <c r="F19" i="1"/>
  <c r="G19" i="1"/>
  <c r="F20" i="1"/>
  <c r="G20" i="1"/>
  <c r="F21" i="1"/>
  <c r="G21" i="1"/>
  <c r="F22" i="1"/>
  <c r="G22" i="1"/>
  <c r="F23" i="1"/>
  <c r="G23" i="1"/>
  <c r="F24" i="1"/>
  <c r="G24" i="1"/>
  <c r="F25" i="1"/>
  <c r="G25" i="1"/>
  <c r="F26" i="1"/>
  <c r="G26" i="1"/>
  <c r="F27" i="1"/>
  <c r="G27" i="1"/>
  <c r="F28" i="1"/>
  <c r="G28" i="1"/>
  <c r="F29" i="1"/>
  <c r="G29" i="1"/>
  <c r="F30" i="1"/>
  <c r="G30" i="1"/>
  <c r="F31" i="1"/>
  <c r="G31" i="1"/>
  <c r="F32" i="1"/>
  <c r="G32" i="1"/>
  <c r="F33" i="1"/>
  <c r="G33" i="1"/>
  <c r="F34" i="1"/>
  <c r="G34" i="1"/>
  <c r="F35" i="1"/>
  <c r="G35" i="1"/>
  <c r="F36" i="1"/>
  <c r="G36" i="1"/>
  <c r="F37" i="1"/>
  <c r="G37" i="1"/>
  <c r="F38" i="1"/>
  <c r="G38" i="1"/>
  <c r="F39" i="1"/>
  <c r="G39" i="1"/>
  <c r="F40" i="1"/>
  <c r="G40" i="1"/>
  <c r="F41" i="1"/>
  <c r="G41" i="1"/>
  <c r="F42" i="1"/>
  <c r="G42" i="1"/>
  <c r="F43" i="1"/>
  <c r="G43" i="1"/>
  <c r="F44" i="1"/>
  <c r="G44" i="1"/>
  <c r="F45" i="1"/>
  <c r="G45" i="1"/>
  <c r="F46" i="1"/>
  <c r="G46" i="1"/>
  <c r="F47" i="1"/>
  <c r="G47" i="1"/>
  <c r="F48" i="1"/>
  <c r="G48" i="1"/>
  <c r="F49" i="1"/>
  <c r="G49" i="1"/>
  <c r="F50" i="1"/>
  <c r="G50" i="1"/>
  <c r="F51" i="1"/>
  <c r="G51" i="1"/>
  <c r="F52" i="1"/>
  <c r="G52" i="1"/>
  <c r="F53" i="1"/>
  <c r="G53" i="1"/>
  <c r="F54" i="1"/>
  <c r="G54" i="1"/>
  <c r="F55" i="1"/>
  <c r="G55" i="1"/>
  <c r="F56" i="1"/>
  <c r="G56" i="1"/>
  <c r="F57" i="1"/>
  <c r="G57" i="1"/>
  <c r="F58" i="1"/>
  <c r="G58" i="1"/>
  <c r="F59" i="1"/>
  <c r="G59" i="1"/>
  <c r="F60" i="1"/>
  <c r="G60" i="1"/>
  <c r="F61" i="1"/>
  <c r="G61" i="1"/>
  <c r="F62" i="1"/>
  <c r="G62" i="1"/>
  <c r="F63" i="1"/>
  <c r="G63" i="1"/>
  <c r="F64" i="1"/>
  <c r="G64" i="1"/>
  <c r="F65" i="1"/>
  <c r="G65" i="1"/>
  <c r="F66" i="1"/>
  <c r="G66" i="1"/>
  <c r="F67" i="1"/>
  <c r="G67" i="1"/>
  <c r="F68" i="1"/>
  <c r="G68" i="1"/>
  <c r="F69" i="1"/>
  <c r="G69" i="1"/>
  <c r="F70" i="1"/>
  <c r="G70" i="1"/>
  <c r="F71" i="1"/>
  <c r="G71" i="1"/>
  <c r="F72" i="1"/>
  <c r="G72" i="1"/>
  <c r="F73" i="1"/>
  <c r="G73" i="1"/>
  <c r="F74" i="1"/>
  <c r="G74" i="1"/>
  <c r="F75" i="1"/>
  <c r="G75" i="1"/>
  <c r="F76" i="1"/>
  <c r="G76" i="1"/>
  <c r="F77" i="1"/>
  <c r="G77" i="1"/>
  <c r="G2" i="1"/>
  <c r="F2" i="1"/>
  <c r="B21" i="2"/>
  <c r="C21" i="2"/>
  <c r="B22" i="2"/>
  <c r="C22" i="2"/>
  <c r="C20" i="2"/>
  <c r="B20" i="2"/>
  <c r="C15" i="2"/>
  <c r="B15" i="2"/>
  <c r="C14" i="2"/>
  <c r="B14" i="2"/>
  <c r="C13" i="2"/>
  <c r="B13" i="2"/>
  <c r="B7" i="2"/>
  <c r="C7" i="2"/>
  <c r="D7" i="2"/>
  <c r="B8" i="2"/>
  <c r="C8" i="2"/>
  <c r="C6" i="2"/>
  <c r="B6" i="2"/>
  <c r="E18" i="2"/>
  <c r="E21" i="2" s="1"/>
  <c r="E17" i="2"/>
  <c r="E20" i="2" s="1"/>
  <c r="D19" i="2"/>
  <c r="D22" i="2" s="1"/>
  <c r="D18" i="2"/>
  <c r="D21" i="2" s="1"/>
  <c r="D17" i="2"/>
  <c r="D20" i="2" s="1"/>
  <c r="C19" i="2"/>
  <c r="C18" i="2"/>
  <c r="C17" i="2"/>
  <c r="B18" i="2"/>
  <c r="B19" i="2"/>
  <c r="B17" i="2"/>
  <c r="E12" i="2"/>
  <c r="E15" i="2" s="1"/>
  <c r="E11" i="2"/>
  <c r="E14" i="2" s="1"/>
  <c r="E10" i="2"/>
  <c r="E13" i="2" s="1"/>
  <c r="D12" i="2"/>
  <c r="D15" i="2" s="1"/>
  <c r="D11" i="2"/>
  <c r="D14" i="2" s="1"/>
  <c r="D10" i="2"/>
  <c r="D13" i="2" s="1"/>
  <c r="C12" i="2"/>
  <c r="C11" i="2"/>
  <c r="C10" i="2"/>
  <c r="B11" i="2"/>
  <c r="B12" i="2"/>
  <c r="B10" i="2"/>
  <c r="E5" i="2"/>
  <c r="E8" i="2" s="1"/>
  <c r="E4" i="2"/>
  <c r="E7" i="2" s="1"/>
  <c r="E3" i="2"/>
  <c r="E6" i="2" s="1"/>
  <c r="D5" i="2"/>
  <c r="D8" i="2" s="1"/>
  <c r="D4" i="2"/>
  <c r="D3" i="2"/>
  <c r="D6" i="2" s="1"/>
  <c r="C4" i="2"/>
  <c r="C5" i="2"/>
  <c r="C3" i="2"/>
  <c r="B3" i="2"/>
  <c r="B4" i="2"/>
  <c r="B5" i="2"/>
  <c r="E19" i="2" l="1"/>
  <c r="E22" i="2" s="1"/>
</calcChain>
</file>

<file path=xl/sharedStrings.xml><?xml version="1.0" encoding="utf-8"?>
<sst xmlns="http://schemas.openxmlformats.org/spreadsheetml/2006/main" count="334" uniqueCount="91">
  <si>
    <t>Bug ID</t>
  </si>
  <si>
    <t>LogicFL</t>
  </si>
  <si>
    <t>AutoFL-line</t>
  </si>
  <si>
    <t>AutoFL + FuseFL</t>
  </si>
  <si>
    <t>lang_npe_1</t>
  </si>
  <si>
    <t>matched</t>
  </si>
  <si>
    <t>lang_npe_2</t>
  </si>
  <si>
    <t>not_matched</t>
  </si>
  <si>
    <t>lang_npe_3</t>
  </si>
  <si>
    <t>lang_npe_4</t>
  </si>
  <si>
    <t>lang_npe_5</t>
  </si>
  <si>
    <t>lang_npe_6</t>
  </si>
  <si>
    <t>lang_npe_7</t>
  </si>
  <si>
    <t>lang_npe_8</t>
  </si>
  <si>
    <t>lang_npe_9</t>
  </si>
  <si>
    <t>partially_matched</t>
  </si>
  <si>
    <t>lang_npe_10</t>
  </si>
  <si>
    <t>lang_npe_11</t>
  </si>
  <si>
    <t>lang_npe_12</t>
  </si>
  <si>
    <t>lang_npe_13</t>
  </si>
  <si>
    <t>math_npe_1</t>
  </si>
  <si>
    <t>math_npe_2</t>
  </si>
  <si>
    <t>math_npe_3</t>
  </si>
  <si>
    <t>collections_npe_1</t>
  </si>
  <si>
    <t>collections_npe_2</t>
  </si>
  <si>
    <t>collections_npe_3</t>
  </si>
  <si>
    <t>commons-io_npe_1</t>
  </si>
  <si>
    <t>commons-io_npe_2</t>
  </si>
  <si>
    <t>commons-io_npe_3</t>
  </si>
  <si>
    <t>commons-io_npe_4</t>
  </si>
  <si>
    <t>commons-io_npe_5</t>
  </si>
  <si>
    <t>commons-io_npe_6</t>
  </si>
  <si>
    <t>commons-io_npe_7</t>
  </si>
  <si>
    <t>commons-io_npe_8</t>
  </si>
  <si>
    <t>commons-io_npe_9</t>
  </si>
  <si>
    <t>commons-io_npe_10</t>
  </si>
  <si>
    <t>commons-io_npe_11</t>
  </si>
  <si>
    <t>commons-io_npe_12</t>
  </si>
  <si>
    <t>commons-io_npe_13</t>
  </si>
  <si>
    <t>commons-io_npe_14</t>
  </si>
  <si>
    <t>commons-io_npe_15</t>
  </si>
  <si>
    <t>commons-io_npe_16</t>
  </si>
  <si>
    <t>commons-io_npe_17</t>
  </si>
  <si>
    <t>commons-io_npe_18</t>
  </si>
  <si>
    <t>commons-io_npe_19</t>
  </si>
  <si>
    <t>d4j_chart_2</t>
  </si>
  <si>
    <t>d4j_chart_4</t>
  </si>
  <si>
    <t>d4j_chart_14</t>
  </si>
  <si>
    <t>d4j_chart_16</t>
  </si>
  <si>
    <t>d4j_cli_5</t>
  </si>
  <si>
    <t>d4j_cli_30</t>
  </si>
  <si>
    <t>d4j_closure_2</t>
  </si>
  <si>
    <t>d4j_closure_171</t>
  </si>
  <si>
    <t>d4j_codec_5</t>
  </si>
  <si>
    <t>d4j_codec_13</t>
  </si>
  <si>
    <t>d4j_codec_17</t>
  </si>
  <si>
    <t>d4j_csv_4</t>
  </si>
  <si>
    <t>d4j_csv_9</t>
  </si>
  <si>
    <t>d4j_csv_11</t>
  </si>
  <si>
    <t>d4j_gson_6</t>
  </si>
  <si>
    <t>d4j_gson_9</t>
  </si>
  <si>
    <t>d4j_jacksoncore_8</t>
  </si>
  <si>
    <t>d4j_jacksondatabind_3</t>
  </si>
  <si>
    <t>d4j_jacksondatabind_13</t>
  </si>
  <si>
    <t>d4j_jacksondatabind_80</t>
  </si>
  <si>
    <t>d4j_jacksondatabind_93</t>
  </si>
  <si>
    <t>d4j_jacksondatabind_95</t>
  </si>
  <si>
    <t>d4j_jacksondatabind_107</t>
  </si>
  <si>
    <t>d4j_jsoup_8</t>
  </si>
  <si>
    <t>d4j_jsoup_22</t>
  </si>
  <si>
    <t>d4j_jsoup_26</t>
  </si>
  <si>
    <t>d4j_jsoup_66</t>
  </si>
  <si>
    <t>d4j_jsoup_89</t>
  </si>
  <si>
    <t>d4j_lang_20</t>
  </si>
  <si>
    <t>d4j_lang_33</t>
  </si>
  <si>
    <t>d4j_lang_39</t>
  </si>
  <si>
    <t>d4j_lang_47</t>
  </si>
  <si>
    <t>d4j_lang_57</t>
  </si>
  <si>
    <t>d4j_math_4</t>
  </si>
  <si>
    <t>d4j_math_70</t>
  </si>
  <si>
    <t>d4j_math_79</t>
  </si>
  <si>
    <t>d4j_mockito_18</t>
  </si>
  <si>
    <t>d4j_mockito_38</t>
  </si>
  <si>
    <t>Total</t>
  </si>
  <si>
    <t>matched %</t>
  </si>
  <si>
    <t>partially_matched %</t>
  </si>
  <si>
    <t>not_matched %</t>
  </si>
  <si>
    <t>Apache Commons</t>
  </si>
  <si>
    <t>D4J</t>
  </si>
  <si>
    <t>AutoFL + FuseFL</t>
    <phoneticPr fontId="4" type="noConversion"/>
  </si>
  <si>
    <t>FuseFL(gpt-4o, Trial 1)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</si>
</sst>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맑은 고딕"/>
      <family val="2"/>
      <charset val="129"/>
      <scheme val="minor"/>
    </font>
    <font>
      <sz val="10"/>
      <color theme="1"/>
      <name val="Arial"/>
      <family val="2"/>
    </font>
    <font>
      <sz val="8"/>
      <color theme="1"/>
      <name val="Helvetica Neue"/>
      <family val="2"/>
    </font>
    <font>
      <b/>
      <sz val="10"/>
      <color theme="1"/>
      <name val="Arial"/>
      <family val="2"/>
    </font>
    <font>
      <sz val="8"/>
      <name val="맑은 고딕"/>
      <family val="2"/>
      <charset val="129"/>
      <scheme val="minor"/>
    </font>
    <font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10" fontId="1" fillId="0" borderId="0" xfId="0" applyNumberFormat="1" applyFont="1">
      <alignment vertical="center"/>
    </xf>
    <xf numFmtId="0" fontId="5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A832B-AFD2-E041-9489-5CFC29A49D66}">
  <dimension ref="A1:G77"/>
  <sheetViews>
    <sheetView workbookViewId="0">
      <selection activeCell="H2" sqref="H2:H76"/>
    </sheetView>
  </sheetViews>
  <sheetFormatPr baseColWidth="10" defaultRowHeight="18"/>
  <cols>
    <col min="4" max="4" width="18.855468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90</v>
      </c>
      <c r="E1" s="1" t="s">
        <v>89</v>
      </c>
    </row>
    <row r="2" spans="1:7">
      <c r="A2" s="1" t="s">
        <v>4</v>
      </c>
      <c r="B2" s="1" t="s">
        <v>5</v>
      </c>
      <c r="C2" s="2" t="s">
        <v>5</v>
      </c>
      <c r="D2" s="5" t="s">
        <v>5</v>
      </c>
      <c r="E2" s="1" t="str">
        <f>IF(MAX(F2, G2)=3, "matched", IF(MAX(F2, G2)=2, "partially_matched", "not_matched"))</f>
        <v>matched</v>
      </c>
      <c r="F2">
        <f>IF(C2="matched", 3, IF(C2="partially_matched", 2, 1))</f>
        <v>3</v>
      </c>
      <c r="G2">
        <f>IF(D2="matched", 3, IF(D2="partially_matched", 2, 1))</f>
        <v>3</v>
      </c>
    </row>
    <row r="3" spans="1:7">
      <c r="A3" s="1" t="s">
        <v>6</v>
      </c>
      <c r="B3" s="1" t="s">
        <v>5</v>
      </c>
      <c r="C3" s="2" t="s">
        <v>5</v>
      </c>
      <c r="D3" s="5" t="s">
        <v>7</v>
      </c>
      <c r="E3" s="1" t="str">
        <f t="shared" ref="E3:E66" si="0">IF(MAX(F3, G3)=3, "matched", IF(MAX(F3, G3)=2, "partially_matched", "not_matched"))</f>
        <v>matched</v>
      </c>
      <c r="F3">
        <f t="shared" ref="F3:F66" si="1">IF(C3="matched", 3, IF(C3="partially_matched", 2, 1))</f>
        <v>3</v>
      </c>
      <c r="G3">
        <f t="shared" ref="G3:G66" si="2">IF(D3="matched", 3, IF(D3="partially_matched", 2, 1))</f>
        <v>1</v>
      </c>
    </row>
    <row r="4" spans="1:7">
      <c r="A4" s="1" t="s">
        <v>8</v>
      </c>
      <c r="B4" s="1" t="s">
        <v>5</v>
      </c>
      <c r="C4" s="2" t="s">
        <v>5</v>
      </c>
      <c r="D4" s="5" t="s">
        <v>5</v>
      </c>
      <c r="E4" s="1" t="str">
        <f t="shared" si="0"/>
        <v>matched</v>
      </c>
      <c r="F4">
        <f t="shared" si="1"/>
        <v>3</v>
      </c>
      <c r="G4">
        <f t="shared" si="2"/>
        <v>3</v>
      </c>
    </row>
    <row r="5" spans="1:7">
      <c r="A5" s="1" t="s">
        <v>9</v>
      </c>
      <c r="B5" s="1" t="s">
        <v>5</v>
      </c>
      <c r="C5" s="2" t="s">
        <v>5</v>
      </c>
      <c r="D5" s="5" t="s">
        <v>5</v>
      </c>
      <c r="E5" s="1" t="str">
        <f t="shared" si="0"/>
        <v>matched</v>
      </c>
      <c r="F5">
        <f t="shared" si="1"/>
        <v>3</v>
      </c>
      <c r="G5">
        <f t="shared" si="2"/>
        <v>3</v>
      </c>
    </row>
    <row r="6" spans="1:7">
      <c r="A6" s="1" t="s">
        <v>10</v>
      </c>
      <c r="B6" s="1" t="s">
        <v>5</v>
      </c>
      <c r="C6" s="2" t="s">
        <v>5</v>
      </c>
      <c r="D6" s="5" t="s">
        <v>5</v>
      </c>
      <c r="E6" s="1" t="str">
        <f t="shared" si="0"/>
        <v>matched</v>
      </c>
      <c r="F6">
        <f t="shared" si="1"/>
        <v>3</v>
      </c>
      <c r="G6">
        <f t="shared" si="2"/>
        <v>3</v>
      </c>
    </row>
    <row r="7" spans="1:7">
      <c r="A7" s="1" t="s">
        <v>11</v>
      </c>
      <c r="B7" s="1" t="s">
        <v>5</v>
      </c>
      <c r="C7" s="2" t="s">
        <v>5</v>
      </c>
      <c r="D7" s="5" t="s">
        <v>5</v>
      </c>
      <c r="E7" s="1" t="str">
        <f t="shared" si="0"/>
        <v>matched</v>
      </c>
      <c r="F7">
        <f t="shared" si="1"/>
        <v>3</v>
      </c>
      <c r="G7">
        <f t="shared" si="2"/>
        <v>3</v>
      </c>
    </row>
    <row r="8" spans="1:7">
      <c r="A8" s="1" t="s">
        <v>12</v>
      </c>
      <c r="B8" s="1" t="s">
        <v>5</v>
      </c>
      <c r="C8" s="2" t="s">
        <v>5</v>
      </c>
      <c r="D8" s="5" t="s">
        <v>5</v>
      </c>
      <c r="E8" s="1" t="str">
        <f t="shared" si="0"/>
        <v>matched</v>
      </c>
      <c r="F8">
        <f t="shared" si="1"/>
        <v>3</v>
      </c>
      <c r="G8">
        <f t="shared" si="2"/>
        <v>3</v>
      </c>
    </row>
    <row r="9" spans="1:7">
      <c r="A9" s="1" t="s">
        <v>13</v>
      </c>
      <c r="B9" s="1" t="s">
        <v>5</v>
      </c>
      <c r="C9" s="2" t="s">
        <v>5</v>
      </c>
      <c r="D9" s="5" t="s">
        <v>5</v>
      </c>
      <c r="E9" s="1" t="str">
        <f t="shared" si="0"/>
        <v>matched</v>
      </c>
      <c r="F9">
        <f t="shared" si="1"/>
        <v>3</v>
      </c>
      <c r="G9">
        <f t="shared" si="2"/>
        <v>3</v>
      </c>
    </row>
    <row r="10" spans="1:7">
      <c r="A10" s="1" t="s">
        <v>14</v>
      </c>
      <c r="B10" s="1" t="s">
        <v>5</v>
      </c>
      <c r="C10" s="2" t="s">
        <v>15</v>
      </c>
      <c r="D10" s="5" t="s">
        <v>5</v>
      </c>
      <c r="E10" s="1" t="str">
        <f t="shared" si="0"/>
        <v>matched</v>
      </c>
      <c r="F10">
        <f t="shared" si="1"/>
        <v>2</v>
      </c>
      <c r="G10">
        <f t="shared" si="2"/>
        <v>3</v>
      </c>
    </row>
    <row r="11" spans="1:7">
      <c r="A11" s="1" t="s">
        <v>16</v>
      </c>
      <c r="B11" s="1" t="s">
        <v>5</v>
      </c>
      <c r="C11" s="2" t="s">
        <v>15</v>
      </c>
      <c r="D11" s="5" t="s">
        <v>5</v>
      </c>
      <c r="E11" s="1" t="str">
        <f t="shared" si="0"/>
        <v>matched</v>
      </c>
      <c r="F11">
        <f t="shared" si="1"/>
        <v>2</v>
      </c>
      <c r="G11">
        <f t="shared" si="2"/>
        <v>3</v>
      </c>
    </row>
    <row r="12" spans="1:7">
      <c r="A12" s="1" t="s">
        <v>17</v>
      </c>
      <c r="B12" s="1" t="s">
        <v>5</v>
      </c>
      <c r="C12" s="2" t="s">
        <v>7</v>
      </c>
      <c r="D12" s="5" t="s">
        <v>5</v>
      </c>
      <c r="E12" s="1" t="str">
        <f t="shared" si="0"/>
        <v>matched</v>
      </c>
      <c r="F12">
        <f t="shared" si="1"/>
        <v>1</v>
      </c>
      <c r="G12">
        <f t="shared" si="2"/>
        <v>3</v>
      </c>
    </row>
    <row r="13" spans="1:7">
      <c r="A13" s="1" t="s">
        <v>18</v>
      </c>
      <c r="B13" s="1" t="s">
        <v>5</v>
      </c>
      <c r="C13" s="2" t="s">
        <v>7</v>
      </c>
      <c r="D13" s="5" t="s">
        <v>5</v>
      </c>
      <c r="E13" s="1" t="str">
        <f t="shared" si="0"/>
        <v>matched</v>
      </c>
      <c r="F13">
        <f t="shared" si="1"/>
        <v>1</v>
      </c>
      <c r="G13">
        <f t="shared" si="2"/>
        <v>3</v>
      </c>
    </row>
    <row r="14" spans="1:7">
      <c r="A14" s="1" t="s">
        <v>19</v>
      </c>
      <c r="B14" s="1" t="s">
        <v>5</v>
      </c>
      <c r="C14" s="2" t="s">
        <v>5</v>
      </c>
      <c r="D14" s="5" t="s">
        <v>5</v>
      </c>
      <c r="E14" s="1" t="str">
        <f t="shared" si="0"/>
        <v>matched</v>
      </c>
      <c r="F14">
        <f t="shared" si="1"/>
        <v>3</v>
      </c>
      <c r="G14">
        <f t="shared" si="2"/>
        <v>3</v>
      </c>
    </row>
    <row r="15" spans="1:7">
      <c r="A15" s="1" t="s">
        <v>20</v>
      </c>
      <c r="B15" s="1" t="s">
        <v>5</v>
      </c>
      <c r="C15" s="2" t="s">
        <v>5</v>
      </c>
      <c r="D15" s="5" t="s">
        <v>5</v>
      </c>
      <c r="E15" s="1" t="str">
        <f t="shared" si="0"/>
        <v>matched</v>
      </c>
      <c r="F15">
        <f t="shared" si="1"/>
        <v>3</v>
      </c>
      <c r="G15">
        <f t="shared" si="2"/>
        <v>3</v>
      </c>
    </row>
    <row r="16" spans="1:7">
      <c r="A16" s="1" t="s">
        <v>21</v>
      </c>
      <c r="B16" s="1" t="s">
        <v>5</v>
      </c>
      <c r="C16" s="2" t="s">
        <v>5</v>
      </c>
      <c r="D16" s="5" t="s">
        <v>5</v>
      </c>
      <c r="E16" s="1" t="str">
        <f t="shared" si="0"/>
        <v>matched</v>
      </c>
      <c r="F16">
        <f t="shared" si="1"/>
        <v>3</v>
      </c>
      <c r="G16">
        <f t="shared" si="2"/>
        <v>3</v>
      </c>
    </row>
    <row r="17" spans="1:7">
      <c r="A17" s="1" t="s">
        <v>22</v>
      </c>
      <c r="B17" s="1" t="s">
        <v>5</v>
      </c>
      <c r="C17" s="2" t="s">
        <v>5</v>
      </c>
      <c r="D17" s="5" t="s">
        <v>5</v>
      </c>
      <c r="E17" s="1" t="str">
        <f t="shared" si="0"/>
        <v>matched</v>
      </c>
      <c r="F17">
        <f t="shared" si="1"/>
        <v>3</v>
      </c>
      <c r="G17">
        <f t="shared" si="2"/>
        <v>3</v>
      </c>
    </row>
    <row r="18" spans="1:7">
      <c r="A18" s="1" t="s">
        <v>23</v>
      </c>
      <c r="B18" s="1" t="s">
        <v>5</v>
      </c>
      <c r="C18" s="2" t="s">
        <v>5</v>
      </c>
      <c r="D18" s="5" t="s">
        <v>5</v>
      </c>
      <c r="E18" s="1" t="str">
        <f t="shared" si="0"/>
        <v>matched</v>
      </c>
      <c r="F18">
        <f t="shared" si="1"/>
        <v>3</v>
      </c>
      <c r="G18">
        <f t="shared" si="2"/>
        <v>3</v>
      </c>
    </row>
    <row r="19" spans="1:7">
      <c r="A19" s="1" t="s">
        <v>24</v>
      </c>
      <c r="B19" s="1" t="s">
        <v>5</v>
      </c>
      <c r="C19" s="2" t="s">
        <v>5</v>
      </c>
      <c r="D19" s="5" t="s">
        <v>5</v>
      </c>
      <c r="E19" s="1" t="str">
        <f t="shared" si="0"/>
        <v>matched</v>
      </c>
      <c r="F19">
        <f t="shared" si="1"/>
        <v>3</v>
      </c>
      <c r="G19">
        <f t="shared" si="2"/>
        <v>3</v>
      </c>
    </row>
    <row r="20" spans="1:7">
      <c r="A20" s="1" t="s">
        <v>25</v>
      </c>
      <c r="B20" s="1" t="s">
        <v>15</v>
      </c>
      <c r="C20" s="2" t="s">
        <v>15</v>
      </c>
      <c r="D20" s="5" t="s">
        <v>5</v>
      </c>
      <c r="E20" s="1" t="str">
        <f t="shared" si="0"/>
        <v>matched</v>
      </c>
      <c r="F20">
        <f t="shared" si="1"/>
        <v>2</v>
      </c>
      <c r="G20">
        <f t="shared" si="2"/>
        <v>3</v>
      </c>
    </row>
    <row r="21" spans="1:7">
      <c r="A21" s="1" t="s">
        <v>26</v>
      </c>
      <c r="B21" s="1" t="s">
        <v>5</v>
      </c>
      <c r="C21" s="2" t="s">
        <v>5</v>
      </c>
      <c r="D21" s="5" t="s">
        <v>5</v>
      </c>
      <c r="E21" s="1" t="str">
        <f t="shared" si="0"/>
        <v>matched</v>
      </c>
      <c r="F21">
        <f t="shared" si="1"/>
        <v>3</v>
      </c>
      <c r="G21">
        <f t="shared" si="2"/>
        <v>3</v>
      </c>
    </row>
    <row r="22" spans="1:7">
      <c r="A22" s="1" t="s">
        <v>27</v>
      </c>
      <c r="B22" s="1" t="s">
        <v>5</v>
      </c>
      <c r="C22" s="2" t="s">
        <v>5</v>
      </c>
      <c r="D22" s="5" t="s">
        <v>5</v>
      </c>
      <c r="E22" s="1" t="str">
        <f t="shared" si="0"/>
        <v>matched</v>
      </c>
      <c r="F22">
        <f t="shared" si="1"/>
        <v>3</v>
      </c>
      <c r="G22">
        <f t="shared" si="2"/>
        <v>3</v>
      </c>
    </row>
    <row r="23" spans="1:7">
      <c r="A23" s="1" t="s">
        <v>28</v>
      </c>
      <c r="B23" s="1" t="s">
        <v>5</v>
      </c>
      <c r="C23" s="2" t="s">
        <v>15</v>
      </c>
      <c r="D23" s="5" t="s">
        <v>5</v>
      </c>
      <c r="E23" s="1" t="str">
        <f t="shared" si="0"/>
        <v>matched</v>
      </c>
      <c r="F23">
        <f t="shared" si="1"/>
        <v>2</v>
      </c>
      <c r="G23">
        <f t="shared" si="2"/>
        <v>3</v>
      </c>
    </row>
    <row r="24" spans="1:7">
      <c r="A24" s="1" t="s">
        <v>29</v>
      </c>
      <c r="B24" s="1" t="s">
        <v>5</v>
      </c>
      <c r="C24" s="2" t="s">
        <v>5</v>
      </c>
      <c r="D24" s="5" t="s">
        <v>5</v>
      </c>
      <c r="E24" s="1" t="str">
        <f t="shared" si="0"/>
        <v>matched</v>
      </c>
      <c r="F24">
        <f t="shared" si="1"/>
        <v>3</v>
      </c>
      <c r="G24">
        <f t="shared" si="2"/>
        <v>3</v>
      </c>
    </row>
    <row r="25" spans="1:7">
      <c r="A25" s="1" t="s">
        <v>30</v>
      </c>
      <c r="B25" s="1" t="s">
        <v>15</v>
      </c>
      <c r="C25" s="2" t="s">
        <v>15</v>
      </c>
      <c r="D25" s="5" t="s">
        <v>15</v>
      </c>
      <c r="E25" s="1" t="str">
        <f t="shared" si="0"/>
        <v>partially_matched</v>
      </c>
      <c r="F25">
        <f t="shared" si="1"/>
        <v>2</v>
      </c>
      <c r="G25">
        <f t="shared" si="2"/>
        <v>2</v>
      </c>
    </row>
    <row r="26" spans="1:7">
      <c r="A26" s="1" t="s">
        <v>31</v>
      </c>
      <c r="B26" s="1" t="s">
        <v>5</v>
      </c>
      <c r="C26" s="2" t="s">
        <v>5</v>
      </c>
      <c r="D26" s="5" t="s">
        <v>5</v>
      </c>
      <c r="E26" s="1" t="str">
        <f t="shared" si="0"/>
        <v>matched</v>
      </c>
      <c r="F26">
        <f t="shared" si="1"/>
        <v>3</v>
      </c>
      <c r="G26">
        <f t="shared" si="2"/>
        <v>3</v>
      </c>
    </row>
    <row r="27" spans="1:7">
      <c r="A27" s="1" t="s">
        <v>32</v>
      </c>
      <c r="B27" s="1" t="s">
        <v>5</v>
      </c>
      <c r="C27" s="2" t="s">
        <v>5</v>
      </c>
      <c r="D27" s="5" t="s">
        <v>5</v>
      </c>
      <c r="E27" s="1" t="str">
        <f t="shared" si="0"/>
        <v>matched</v>
      </c>
      <c r="F27">
        <f t="shared" si="1"/>
        <v>3</v>
      </c>
      <c r="G27">
        <f t="shared" si="2"/>
        <v>3</v>
      </c>
    </row>
    <row r="28" spans="1:7">
      <c r="A28" s="1" t="s">
        <v>33</v>
      </c>
      <c r="B28" s="1" t="s">
        <v>5</v>
      </c>
      <c r="C28" s="2" t="s">
        <v>5</v>
      </c>
      <c r="D28" s="5" t="s">
        <v>5</v>
      </c>
      <c r="E28" s="1" t="str">
        <f t="shared" si="0"/>
        <v>matched</v>
      </c>
      <c r="F28">
        <f t="shared" si="1"/>
        <v>3</v>
      </c>
      <c r="G28">
        <f t="shared" si="2"/>
        <v>3</v>
      </c>
    </row>
    <row r="29" spans="1:7">
      <c r="A29" s="1" t="s">
        <v>34</v>
      </c>
      <c r="B29" s="1" t="s">
        <v>5</v>
      </c>
      <c r="C29" s="2" t="s">
        <v>5</v>
      </c>
      <c r="D29" s="5" t="s">
        <v>5</v>
      </c>
      <c r="E29" s="1" t="str">
        <f t="shared" si="0"/>
        <v>matched</v>
      </c>
      <c r="F29">
        <f t="shared" si="1"/>
        <v>3</v>
      </c>
      <c r="G29">
        <f t="shared" si="2"/>
        <v>3</v>
      </c>
    </row>
    <row r="30" spans="1:7">
      <c r="A30" s="1" t="s">
        <v>35</v>
      </c>
      <c r="B30" s="1" t="s">
        <v>5</v>
      </c>
      <c r="C30" s="2" t="s">
        <v>5</v>
      </c>
      <c r="D30" s="5" t="s">
        <v>5</v>
      </c>
      <c r="E30" s="1" t="str">
        <f t="shared" si="0"/>
        <v>matched</v>
      </c>
      <c r="F30">
        <f t="shared" si="1"/>
        <v>3</v>
      </c>
      <c r="G30">
        <f t="shared" si="2"/>
        <v>3</v>
      </c>
    </row>
    <row r="31" spans="1:7">
      <c r="A31" s="1" t="s">
        <v>36</v>
      </c>
      <c r="B31" s="1" t="s">
        <v>15</v>
      </c>
      <c r="C31" s="2" t="s">
        <v>15</v>
      </c>
      <c r="D31" s="5" t="s">
        <v>15</v>
      </c>
      <c r="E31" s="1" t="str">
        <f t="shared" si="0"/>
        <v>partially_matched</v>
      </c>
      <c r="F31">
        <f t="shared" si="1"/>
        <v>2</v>
      </c>
      <c r="G31">
        <f t="shared" si="2"/>
        <v>2</v>
      </c>
    </row>
    <row r="32" spans="1:7">
      <c r="A32" s="1" t="s">
        <v>37</v>
      </c>
      <c r="B32" s="1" t="s">
        <v>5</v>
      </c>
      <c r="C32" s="2" t="s">
        <v>5</v>
      </c>
      <c r="D32" s="5" t="s">
        <v>5</v>
      </c>
      <c r="E32" s="1" t="str">
        <f t="shared" si="0"/>
        <v>matched</v>
      </c>
      <c r="F32">
        <f t="shared" si="1"/>
        <v>3</v>
      </c>
      <c r="G32">
        <f t="shared" si="2"/>
        <v>3</v>
      </c>
    </row>
    <row r="33" spans="1:7">
      <c r="A33" s="1" t="s">
        <v>38</v>
      </c>
      <c r="B33" s="1" t="s">
        <v>5</v>
      </c>
      <c r="C33" s="2" t="s">
        <v>5</v>
      </c>
      <c r="D33" s="5" t="s">
        <v>5</v>
      </c>
      <c r="E33" s="1" t="str">
        <f t="shared" si="0"/>
        <v>matched</v>
      </c>
      <c r="F33">
        <f t="shared" si="1"/>
        <v>3</v>
      </c>
      <c r="G33">
        <f t="shared" si="2"/>
        <v>3</v>
      </c>
    </row>
    <row r="34" spans="1:7">
      <c r="A34" s="1" t="s">
        <v>39</v>
      </c>
      <c r="B34" s="1" t="s">
        <v>5</v>
      </c>
      <c r="C34" s="2" t="s">
        <v>5</v>
      </c>
      <c r="D34" s="5" t="s">
        <v>5</v>
      </c>
      <c r="E34" s="1" t="str">
        <f t="shared" si="0"/>
        <v>matched</v>
      </c>
      <c r="F34">
        <f t="shared" si="1"/>
        <v>3</v>
      </c>
      <c r="G34">
        <f t="shared" si="2"/>
        <v>3</v>
      </c>
    </row>
    <row r="35" spans="1:7">
      <c r="A35" s="1" t="s">
        <v>40</v>
      </c>
      <c r="B35" s="1" t="s">
        <v>5</v>
      </c>
      <c r="C35" s="2" t="s">
        <v>5</v>
      </c>
      <c r="D35" s="5" t="s">
        <v>5</v>
      </c>
      <c r="E35" s="1" t="str">
        <f t="shared" si="0"/>
        <v>matched</v>
      </c>
      <c r="F35">
        <f t="shared" si="1"/>
        <v>3</v>
      </c>
      <c r="G35">
        <f t="shared" si="2"/>
        <v>3</v>
      </c>
    </row>
    <row r="36" spans="1:7">
      <c r="A36" s="1" t="s">
        <v>41</v>
      </c>
      <c r="B36" s="1" t="s">
        <v>5</v>
      </c>
      <c r="C36" s="2" t="s">
        <v>5</v>
      </c>
      <c r="D36" s="5" t="s">
        <v>5</v>
      </c>
      <c r="E36" s="1" t="str">
        <f t="shared" si="0"/>
        <v>matched</v>
      </c>
      <c r="F36">
        <f t="shared" si="1"/>
        <v>3</v>
      </c>
      <c r="G36">
        <f t="shared" si="2"/>
        <v>3</v>
      </c>
    </row>
    <row r="37" spans="1:7">
      <c r="A37" s="1" t="s">
        <v>42</v>
      </c>
      <c r="B37" s="1" t="s">
        <v>5</v>
      </c>
      <c r="C37" s="2" t="s">
        <v>5</v>
      </c>
      <c r="D37" s="5" t="s">
        <v>5</v>
      </c>
      <c r="E37" s="1" t="str">
        <f t="shared" si="0"/>
        <v>matched</v>
      </c>
      <c r="F37">
        <f t="shared" si="1"/>
        <v>3</v>
      </c>
      <c r="G37">
        <f t="shared" si="2"/>
        <v>3</v>
      </c>
    </row>
    <row r="38" spans="1:7">
      <c r="A38" s="1" t="s">
        <v>43</v>
      </c>
      <c r="B38" s="1" t="s">
        <v>5</v>
      </c>
      <c r="C38" s="2" t="s">
        <v>7</v>
      </c>
      <c r="D38" s="5" t="s">
        <v>5</v>
      </c>
      <c r="E38" s="1" t="str">
        <f t="shared" si="0"/>
        <v>matched</v>
      </c>
      <c r="F38">
        <f t="shared" si="1"/>
        <v>1</v>
      </c>
      <c r="G38">
        <f t="shared" si="2"/>
        <v>3</v>
      </c>
    </row>
    <row r="39" spans="1:7">
      <c r="A39" s="1" t="s">
        <v>44</v>
      </c>
      <c r="B39" s="1" t="s">
        <v>5</v>
      </c>
      <c r="C39" s="2" t="s">
        <v>7</v>
      </c>
      <c r="D39" s="5" t="s">
        <v>5</v>
      </c>
      <c r="E39" s="1" t="str">
        <f t="shared" si="0"/>
        <v>matched</v>
      </c>
      <c r="F39">
        <f t="shared" si="1"/>
        <v>1</v>
      </c>
      <c r="G39">
        <f t="shared" si="2"/>
        <v>3</v>
      </c>
    </row>
    <row r="40" spans="1:7">
      <c r="A40" s="1" t="s">
        <v>45</v>
      </c>
      <c r="B40" s="1" t="s">
        <v>7</v>
      </c>
      <c r="C40" s="2" t="s">
        <v>5</v>
      </c>
      <c r="D40" s="5" t="s">
        <v>5</v>
      </c>
      <c r="E40" s="1" t="str">
        <f t="shared" si="0"/>
        <v>matched</v>
      </c>
      <c r="F40">
        <f t="shared" si="1"/>
        <v>3</v>
      </c>
      <c r="G40">
        <f t="shared" si="2"/>
        <v>3</v>
      </c>
    </row>
    <row r="41" spans="1:7">
      <c r="A41" s="1" t="s">
        <v>46</v>
      </c>
      <c r="B41" s="1" t="s">
        <v>5</v>
      </c>
      <c r="C41" s="2" t="s">
        <v>5</v>
      </c>
      <c r="D41" s="5" t="s">
        <v>5</v>
      </c>
      <c r="E41" s="1" t="str">
        <f t="shared" si="0"/>
        <v>matched</v>
      </c>
      <c r="F41">
        <f t="shared" si="1"/>
        <v>3</v>
      </c>
      <c r="G41">
        <f t="shared" si="2"/>
        <v>3</v>
      </c>
    </row>
    <row r="42" spans="1:7">
      <c r="A42" s="1" t="s">
        <v>47</v>
      </c>
      <c r="B42" s="1" t="s">
        <v>5</v>
      </c>
      <c r="C42" s="2" t="s">
        <v>15</v>
      </c>
      <c r="D42" s="5" t="s">
        <v>15</v>
      </c>
      <c r="E42" s="1" t="str">
        <f t="shared" si="0"/>
        <v>partially_matched</v>
      </c>
      <c r="F42">
        <f t="shared" si="1"/>
        <v>2</v>
      </c>
      <c r="G42">
        <f t="shared" si="2"/>
        <v>2</v>
      </c>
    </row>
    <row r="43" spans="1:7">
      <c r="A43" s="1" t="s">
        <v>48</v>
      </c>
      <c r="B43" s="1" t="s">
        <v>5</v>
      </c>
      <c r="C43" s="2" t="s">
        <v>5</v>
      </c>
      <c r="D43" s="5" t="s">
        <v>5</v>
      </c>
      <c r="E43" s="1" t="str">
        <f t="shared" si="0"/>
        <v>matched</v>
      </c>
      <c r="F43">
        <f t="shared" si="1"/>
        <v>3</v>
      </c>
      <c r="G43">
        <f t="shared" si="2"/>
        <v>3</v>
      </c>
    </row>
    <row r="44" spans="1:7">
      <c r="A44" s="1" t="s">
        <v>49</v>
      </c>
      <c r="B44" s="1" t="s">
        <v>5</v>
      </c>
      <c r="C44" s="2" t="s">
        <v>5</v>
      </c>
      <c r="D44" s="5" t="s">
        <v>5</v>
      </c>
      <c r="E44" s="1" t="str">
        <f t="shared" si="0"/>
        <v>matched</v>
      </c>
      <c r="F44">
        <f t="shared" si="1"/>
        <v>3</v>
      </c>
      <c r="G44">
        <f t="shared" si="2"/>
        <v>3</v>
      </c>
    </row>
    <row r="45" spans="1:7">
      <c r="A45" s="1" t="s">
        <v>50</v>
      </c>
      <c r="B45" s="1" t="s">
        <v>5</v>
      </c>
      <c r="C45" s="2" t="s">
        <v>7</v>
      </c>
      <c r="D45" s="5" t="s">
        <v>5</v>
      </c>
      <c r="E45" s="1" t="str">
        <f t="shared" si="0"/>
        <v>matched</v>
      </c>
      <c r="F45">
        <f t="shared" si="1"/>
        <v>1</v>
      </c>
      <c r="G45">
        <f t="shared" si="2"/>
        <v>3</v>
      </c>
    </row>
    <row r="46" spans="1:7">
      <c r="A46" s="1" t="s">
        <v>51</v>
      </c>
      <c r="B46" s="1" t="s">
        <v>5</v>
      </c>
      <c r="C46" s="2" t="s">
        <v>5</v>
      </c>
      <c r="D46" s="5" t="s">
        <v>5</v>
      </c>
      <c r="E46" s="1" t="str">
        <f t="shared" si="0"/>
        <v>matched</v>
      </c>
      <c r="F46">
        <f t="shared" si="1"/>
        <v>3</v>
      </c>
      <c r="G46">
        <f t="shared" si="2"/>
        <v>3</v>
      </c>
    </row>
    <row r="47" spans="1:7">
      <c r="A47" s="1" t="s">
        <v>52</v>
      </c>
      <c r="B47" s="1" t="s">
        <v>7</v>
      </c>
      <c r="C47" s="2" t="s">
        <v>7</v>
      </c>
      <c r="D47" s="5" t="s">
        <v>7</v>
      </c>
      <c r="E47" s="1" t="str">
        <f t="shared" si="0"/>
        <v>not_matched</v>
      </c>
      <c r="F47">
        <f t="shared" si="1"/>
        <v>1</v>
      </c>
      <c r="G47">
        <f t="shared" si="2"/>
        <v>1</v>
      </c>
    </row>
    <row r="48" spans="1:7">
      <c r="A48" s="1" t="s">
        <v>53</v>
      </c>
      <c r="B48" s="1" t="s">
        <v>5</v>
      </c>
      <c r="C48" s="2" t="s">
        <v>5</v>
      </c>
      <c r="D48" s="5" t="s">
        <v>5</v>
      </c>
      <c r="E48" s="1" t="str">
        <f t="shared" si="0"/>
        <v>matched</v>
      </c>
      <c r="F48">
        <f t="shared" si="1"/>
        <v>3</v>
      </c>
      <c r="G48">
        <f t="shared" si="2"/>
        <v>3</v>
      </c>
    </row>
    <row r="49" spans="1:7">
      <c r="A49" s="1" t="s">
        <v>54</v>
      </c>
      <c r="B49" s="1" t="s">
        <v>5</v>
      </c>
      <c r="C49" s="2" t="s">
        <v>5</v>
      </c>
      <c r="D49" s="5" t="s">
        <v>5</v>
      </c>
      <c r="E49" s="1" t="str">
        <f t="shared" si="0"/>
        <v>matched</v>
      </c>
      <c r="F49">
        <f t="shared" si="1"/>
        <v>3</v>
      </c>
      <c r="G49">
        <f t="shared" si="2"/>
        <v>3</v>
      </c>
    </row>
    <row r="50" spans="1:7">
      <c r="A50" s="1" t="s">
        <v>55</v>
      </c>
      <c r="B50" s="1" t="s">
        <v>5</v>
      </c>
      <c r="C50" s="2" t="s">
        <v>5</v>
      </c>
      <c r="D50" s="5" t="s">
        <v>5</v>
      </c>
      <c r="E50" s="1" t="str">
        <f t="shared" si="0"/>
        <v>matched</v>
      </c>
      <c r="F50">
        <f t="shared" si="1"/>
        <v>3</v>
      </c>
      <c r="G50">
        <f t="shared" si="2"/>
        <v>3</v>
      </c>
    </row>
    <row r="51" spans="1:7">
      <c r="A51" s="1" t="s">
        <v>56</v>
      </c>
      <c r="B51" s="1" t="s">
        <v>5</v>
      </c>
      <c r="C51" s="2" t="s">
        <v>5</v>
      </c>
      <c r="D51" s="5" t="s">
        <v>7</v>
      </c>
      <c r="E51" s="1" t="str">
        <f t="shared" si="0"/>
        <v>matched</v>
      </c>
      <c r="F51">
        <f t="shared" si="1"/>
        <v>3</v>
      </c>
      <c r="G51">
        <f t="shared" si="2"/>
        <v>1</v>
      </c>
    </row>
    <row r="52" spans="1:7">
      <c r="A52" s="1" t="s">
        <v>57</v>
      </c>
      <c r="B52" s="1" t="s">
        <v>5</v>
      </c>
      <c r="C52" s="2" t="s">
        <v>5</v>
      </c>
      <c r="D52" s="5" t="s">
        <v>5</v>
      </c>
      <c r="E52" s="1" t="str">
        <f t="shared" si="0"/>
        <v>matched</v>
      </c>
      <c r="F52">
        <f t="shared" si="1"/>
        <v>3</v>
      </c>
      <c r="G52">
        <f t="shared" si="2"/>
        <v>3</v>
      </c>
    </row>
    <row r="53" spans="1:7">
      <c r="A53" s="1" t="s">
        <v>58</v>
      </c>
      <c r="B53" s="1" t="s">
        <v>5</v>
      </c>
      <c r="C53" s="2" t="s">
        <v>5</v>
      </c>
      <c r="D53" s="5" t="s">
        <v>5</v>
      </c>
      <c r="E53" s="1" t="str">
        <f t="shared" si="0"/>
        <v>matched</v>
      </c>
      <c r="F53">
        <f t="shared" si="1"/>
        <v>3</v>
      </c>
      <c r="G53">
        <f t="shared" si="2"/>
        <v>3</v>
      </c>
    </row>
    <row r="54" spans="1:7">
      <c r="A54" s="1" t="s">
        <v>59</v>
      </c>
      <c r="B54" s="1" t="s">
        <v>5</v>
      </c>
      <c r="C54" s="2" t="s">
        <v>5</v>
      </c>
      <c r="D54" s="5" t="s">
        <v>5</v>
      </c>
      <c r="E54" s="1" t="str">
        <f t="shared" si="0"/>
        <v>matched</v>
      </c>
      <c r="F54">
        <f t="shared" si="1"/>
        <v>3</v>
      </c>
      <c r="G54">
        <f t="shared" si="2"/>
        <v>3</v>
      </c>
    </row>
    <row r="55" spans="1:7">
      <c r="A55" s="1" t="s">
        <v>60</v>
      </c>
      <c r="B55" s="1" t="s">
        <v>7</v>
      </c>
      <c r="C55" s="2" t="s">
        <v>5</v>
      </c>
      <c r="D55" s="5" t="s">
        <v>7</v>
      </c>
      <c r="E55" s="1" t="str">
        <f t="shared" si="0"/>
        <v>matched</v>
      </c>
      <c r="F55">
        <f t="shared" si="1"/>
        <v>3</v>
      </c>
      <c r="G55">
        <f t="shared" si="2"/>
        <v>1</v>
      </c>
    </row>
    <row r="56" spans="1:7">
      <c r="A56" s="1" t="s">
        <v>61</v>
      </c>
      <c r="B56" s="1" t="s">
        <v>5</v>
      </c>
      <c r="C56" s="2" t="s">
        <v>5</v>
      </c>
      <c r="D56" s="5" t="s">
        <v>5</v>
      </c>
      <c r="E56" s="1" t="str">
        <f t="shared" si="0"/>
        <v>matched</v>
      </c>
      <c r="F56">
        <f t="shared" si="1"/>
        <v>3</v>
      </c>
      <c r="G56">
        <f t="shared" si="2"/>
        <v>3</v>
      </c>
    </row>
    <row r="57" spans="1:7">
      <c r="A57" s="1" t="s">
        <v>62</v>
      </c>
      <c r="B57" s="1" t="s">
        <v>5</v>
      </c>
      <c r="C57" s="2" t="s">
        <v>15</v>
      </c>
      <c r="D57" s="5" t="s">
        <v>5</v>
      </c>
      <c r="E57" s="1" t="str">
        <f t="shared" si="0"/>
        <v>matched</v>
      </c>
      <c r="F57">
        <f t="shared" si="1"/>
        <v>2</v>
      </c>
      <c r="G57">
        <f t="shared" si="2"/>
        <v>3</v>
      </c>
    </row>
    <row r="58" spans="1:7">
      <c r="A58" s="1" t="s">
        <v>63</v>
      </c>
      <c r="B58" s="1" t="s">
        <v>5</v>
      </c>
      <c r="C58" s="2" t="s">
        <v>5</v>
      </c>
      <c r="D58" s="5" t="s">
        <v>5</v>
      </c>
      <c r="E58" s="1" t="str">
        <f t="shared" si="0"/>
        <v>matched</v>
      </c>
      <c r="F58">
        <f t="shared" si="1"/>
        <v>3</v>
      </c>
      <c r="G58">
        <f t="shared" si="2"/>
        <v>3</v>
      </c>
    </row>
    <row r="59" spans="1:7">
      <c r="A59" s="1" t="s">
        <v>64</v>
      </c>
      <c r="B59" s="1" t="s">
        <v>5</v>
      </c>
      <c r="C59" s="2" t="s">
        <v>7</v>
      </c>
      <c r="D59" s="5" t="s">
        <v>5</v>
      </c>
      <c r="E59" s="1" t="str">
        <f t="shared" si="0"/>
        <v>matched</v>
      </c>
      <c r="F59">
        <f t="shared" si="1"/>
        <v>1</v>
      </c>
      <c r="G59">
        <f t="shared" si="2"/>
        <v>3</v>
      </c>
    </row>
    <row r="60" spans="1:7">
      <c r="A60" s="1" t="s">
        <v>65</v>
      </c>
      <c r="B60" s="1" t="s">
        <v>5</v>
      </c>
      <c r="C60" s="2" t="s">
        <v>5</v>
      </c>
      <c r="D60" s="5" t="s">
        <v>5</v>
      </c>
      <c r="E60" s="1" t="str">
        <f t="shared" si="0"/>
        <v>matched</v>
      </c>
      <c r="F60">
        <f t="shared" si="1"/>
        <v>3</v>
      </c>
      <c r="G60">
        <f t="shared" si="2"/>
        <v>3</v>
      </c>
    </row>
    <row r="61" spans="1:7">
      <c r="A61" s="1" t="s">
        <v>66</v>
      </c>
      <c r="B61" s="1" t="s">
        <v>5</v>
      </c>
      <c r="C61" s="2" t="s">
        <v>7</v>
      </c>
      <c r="D61" s="5" t="s">
        <v>7</v>
      </c>
      <c r="E61" s="1" t="str">
        <f t="shared" si="0"/>
        <v>not_matched</v>
      </c>
      <c r="F61">
        <f t="shared" si="1"/>
        <v>1</v>
      </c>
      <c r="G61">
        <f t="shared" si="2"/>
        <v>1</v>
      </c>
    </row>
    <row r="62" spans="1:7">
      <c r="A62" s="1" t="s">
        <v>67</v>
      </c>
      <c r="B62" s="1" t="s">
        <v>5</v>
      </c>
      <c r="C62" s="2" t="s">
        <v>7</v>
      </c>
      <c r="D62" s="5" t="s">
        <v>7</v>
      </c>
      <c r="E62" s="1" t="str">
        <f t="shared" si="0"/>
        <v>not_matched</v>
      </c>
      <c r="F62">
        <f t="shared" si="1"/>
        <v>1</v>
      </c>
      <c r="G62">
        <f t="shared" si="2"/>
        <v>1</v>
      </c>
    </row>
    <row r="63" spans="1:7">
      <c r="A63" s="1" t="s">
        <v>68</v>
      </c>
      <c r="B63" s="1" t="s">
        <v>5</v>
      </c>
      <c r="C63" s="2" t="s">
        <v>5</v>
      </c>
      <c r="D63" s="5" t="s">
        <v>5</v>
      </c>
      <c r="E63" s="1" t="str">
        <f t="shared" si="0"/>
        <v>matched</v>
      </c>
      <c r="F63">
        <f t="shared" si="1"/>
        <v>3</v>
      </c>
      <c r="G63">
        <f t="shared" si="2"/>
        <v>3</v>
      </c>
    </row>
    <row r="64" spans="1:7">
      <c r="A64" s="1" t="s">
        <v>69</v>
      </c>
      <c r="B64" s="1" t="s">
        <v>5</v>
      </c>
      <c r="C64" s="2" t="s">
        <v>5</v>
      </c>
      <c r="D64" s="5" t="s">
        <v>5</v>
      </c>
      <c r="E64" s="1" t="str">
        <f t="shared" si="0"/>
        <v>matched</v>
      </c>
      <c r="F64">
        <f t="shared" si="1"/>
        <v>3</v>
      </c>
      <c r="G64">
        <f t="shared" si="2"/>
        <v>3</v>
      </c>
    </row>
    <row r="65" spans="1:7">
      <c r="A65" s="1" t="s">
        <v>70</v>
      </c>
      <c r="B65" s="1" t="s">
        <v>5</v>
      </c>
      <c r="C65" s="2" t="s">
        <v>5</v>
      </c>
      <c r="D65" s="5" t="s">
        <v>5</v>
      </c>
      <c r="E65" s="1" t="str">
        <f t="shared" si="0"/>
        <v>matched</v>
      </c>
      <c r="F65">
        <f t="shared" si="1"/>
        <v>3</v>
      </c>
      <c r="G65">
        <f t="shared" si="2"/>
        <v>3</v>
      </c>
    </row>
    <row r="66" spans="1:7">
      <c r="A66" s="1" t="s">
        <v>71</v>
      </c>
      <c r="B66" s="1" t="s">
        <v>7</v>
      </c>
      <c r="C66" s="2" t="s">
        <v>7</v>
      </c>
      <c r="D66" s="5" t="s">
        <v>7</v>
      </c>
      <c r="E66" s="1" t="str">
        <f t="shared" si="0"/>
        <v>not_matched</v>
      </c>
      <c r="F66">
        <f t="shared" si="1"/>
        <v>1</v>
      </c>
      <c r="G66">
        <f t="shared" si="2"/>
        <v>1</v>
      </c>
    </row>
    <row r="67" spans="1:7">
      <c r="A67" s="1" t="s">
        <v>72</v>
      </c>
      <c r="B67" s="1" t="s">
        <v>5</v>
      </c>
      <c r="C67" s="2" t="s">
        <v>5</v>
      </c>
      <c r="D67" s="5" t="s">
        <v>5</v>
      </c>
      <c r="E67" s="1" t="str">
        <f t="shared" ref="E67:E77" si="3">IF(MAX(F67, G67)=3, "matched", IF(MAX(F67, G67)=2, "partially_matched", "not_matched"))</f>
        <v>matched</v>
      </c>
      <c r="F67">
        <f t="shared" ref="F67:F77" si="4">IF(C67="matched", 3, IF(C67="partially_matched", 2, 1))</f>
        <v>3</v>
      </c>
      <c r="G67">
        <f t="shared" ref="G67:G77" si="5">IF(D67="matched", 3, IF(D67="partially_matched", 2, 1))</f>
        <v>3</v>
      </c>
    </row>
    <row r="68" spans="1:7">
      <c r="A68" s="1" t="s">
        <v>73</v>
      </c>
      <c r="B68" s="1" t="s">
        <v>5</v>
      </c>
      <c r="C68" s="2" t="s">
        <v>5</v>
      </c>
      <c r="D68" s="5" t="s">
        <v>5</v>
      </c>
      <c r="E68" s="1" t="str">
        <f t="shared" si="3"/>
        <v>matched</v>
      </c>
      <c r="F68">
        <f t="shared" si="4"/>
        <v>3</v>
      </c>
      <c r="G68">
        <f t="shared" si="5"/>
        <v>3</v>
      </c>
    </row>
    <row r="69" spans="1:7">
      <c r="A69" s="1" t="s">
        <v>74</v>
      </c>
      <c r="B69" s="1" t="s">
        <v>5</v>
      </c>
      <c r="C69" s="2" t="s">
        <v>5</v>
      </c>
      <c r="D69" s="5" t="s">
        <v>5</v>
      </c>
      <c r="E69" s="1" t="str">
        <f t="shared" si="3"/>
        <v>matched</v>
      </c>
      <c r="F69">
        <f t="shared" si="4"/>
        <v>3</v>
      </c>
      <c r="G69">
        <f t="shared" si="5"/>
        <v>3</v>
      </c>
    </row>
    <row r="70" spans="1:7">
      <c r="A70" s="1" t="s">
        <v>75</v>
      </c>
      <c r="B70" s="1" t="s">
        <v>5</v>
      </c>
      <c r="C70" s="2" t="s">
        <v>5</v>
      </c>
      <c r="D70" s="5" t="s">
        <v>5</v>
      </c>
      <c r="E70" s="1" t="str">
        <f t="shared" si="3"/>
        <v>matched</v>
      </c>
      <c r="F70">
        <f t="shared" si="4"/>
        <v>3</v>
      </c>
      <c r="G70">
        <f t="shared" si="5"/>
        <v>3</v>
      </c>
    </row>
    <row r="71" spans="1:7">
      <c r="A71" s="1" t="s">
        <v>76</v>
      </c>
      <c r="B71" s="1" t="s">
        <v>5</v>
      </c>
      <c r="C71" s="2" t="s">
        <v>5</v>
      </c>
      <c r="D71" s="5" t="s">
        <v>7</v>
      </c>
      <c r="E71" s="1" t="str">
        <f t="shared" si="3"/>
        <v>matched</v>
      </c>
      <c r="F71">
        <f t="shared" si="4"/>
        <v>3</v>
      </c>
      <c r="G71">
        <f t="shared" si="5"/>
        <v>1</v>
      </c>
    </row>
    <row r="72" spans="1:7">
      <c r="A72" s="1" t="s">
        <v>77</v>
      </c>
      <c r="B72" s="1" t="s">
        <v>5</v>
      </c>
      <c r="C72" s="2" t="s">
        <v>5</v>
      </c>
      <c r="D72" s="5" t="s">
        <v>5</v>
      </c>
      <c r="E72" s="1" t="str">
        <f t="shared" si="3"/>
        <v>matched</v>
      </c>
      <c r="F72">
        <f t="shared" si="4"/>
        <v>3</v>
      </c>
      <c r="G72">
        <f t="shared" si="5"/>
        <v>3</v>
      </c>
    </row>
    <row r="73" spans="1:7">
      <c r="A73" s="1" t="s">
        <v>78</v>
      </c>
      <c r="B73" s="1" t="s">
        <v>5</v>
      </c>
      <c r="C73" s="2" t="s">
        <v>15</v>
      </c>
      <c r="D73" s="5" t="s">
        <v>5</v>
      </c>
      <c r="E73" s="1" t="str">
        <f t="shared" si="3"/>
        <v>matched</v>
      </c>
      <c r="F73">
        <f t="shared" si="4"/>
        <v>2</v>
      </c>
      <c r="G73">
        <f t="shared" si="5"/>
        <v>3</v>
      </c>
    </row>
    <row r="74" spans="1:7">
      <c r="A74" s="1" t="s">
        <v>79</v>
      </c>
      <c r="B74" s="1" t="s">
        <v>7</v>
      </c>
      <c r="C74" s="2" t="s">
        <v>5</v>
      </c>
      <c r="D74" s="5" t="s">
        <v>5</v>
      </c>
      <c r="E74" s="1" t="str">
        <f t="shared" si="3"/>
        <v>matched</v>
      </c>
      <c r="F74">
        <f t="shared" si="4"/>
        <v>3</v>
      </c>
      <c r="G74">
        <f t="shared" si="5"/>
        <v>3</v>
      </c>
    </row>
    <row r="75" spans="1:7">
      <c r="A75" s="1" t="s">
        <v>80</v>
      </c>
      <c r="B75" s="1" t="s">
        <v>7</v>
      </c>
      <c r="C75" s="2" t="s">
        <v>7</v>
      </c>
      <c r="D75" s="5" t="s">
        <v>7</v>
      </c>
      <c r="E75" s="1" t="str">
        <f t="shared" si="3"/>
        <v>not_matched</v>
      </c>
      <c r="F75">
        <f t="shared" si="4"/>
        <v>1</v>
      </c>
      <c r="G75">
        <f t="shared" si="5"/>
        <v>1</v>
      </c>
    </row>
    <row r="76" spans="1:7">
      <c r="A76" s="1" t="s">
        <v>81</v>
      </c>
      <c r="B76" s="1" t="s">
        <v>5</v>
      </c>
      <c r="C76" s="2" t="s">
        <v>5</v>
      </c>
      <c r="D76" s="5" t="s">
        <v>5</v>
      </c>
      <c r="E76" s="1" t="str">
        <f t="shared" si="3"/>
        <v>matched</v>
      </c>
      <c r="F76">
        <f t="shared" si="4"/>
        <v>3</v>
      </c>
      <c r="G76">
        <f t="shared" si="5"/>
        <v>3</v>
      </c>
    </row>
    <row r="77" spans="1:7">
      <c r="A77" s="1" t="s">
        <v>82</v>
      </c>
      <c r="B77" s="1" t="s">
        <v>5</v>
      </c>
      <c r="C77" s="2" t="s">
        <v>5</v>
      </c>
      <c r="D77" s="5" t="s">
        <v>5</v>
      </c>
      <c r="E77" s="1" t="str">
        <f t="shared" si="3"/>
        <v>matched</v>
      </c>
      <c r="F77">
        <f t="shared" si="4"/>
        <v>3</v>
      </c>
      <c r="G77">
        <f t="shared" si="5"/>
        <v>3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54F2D-B156-584B-8B98-FF351B6E14BF}">
  <dimension ref="A1:N25"/>
  <sheetViews>
    <sheetView tabSelected="1" workbookViewId="0">
      <selection activeCell="K26" sqref="K26"/>
    </sheetView>
  </sheetViews>
  <sheetFormatPr baseColWidth="10" defaultRowHeight="18"/>
  <cols>
    <col min="3" max="3" width="7.85546875" customWidth="1"/>
    <col min="4" max="4" width="20.85546875" customWidth="1"/>
  </cols>
  <sheetData>
    <row r="1" spans="1:14">
      <c r="B1" s="1" t="s">
        <v>1</v>
      </c>
      <c r="C1" s="1" t="s">
        <v>2</v>
      </c>
      <c r="D1" s="1" t="s">
        <v>90</v>
      </c>
      <c r="E1" s="1" t="s">
        <v>3</v>
      </c>
    </row>
    <row r="2" spans="1:14">
      <c r="A2" s="3" t="s">
        <v>87</v>
      </c>
      <c r="B2" s="1"/>
      <c r="C2" s="1"/>
      <c r="D2" s="1"/>
      <c r="E2" s="1"/>
    </row>
    <row r="3" spans="1:14">
      <c r="A3" s="1" t="s">
        <v>5</v>
      </c>
      <c r="B3" s="1">
        <f>COUNTIF(Sheet1!B$2:B$39, $A3)</f>
        <v>35</v>
      </c>
      <c r="C3" s="1">
        <f>COUNTIF(Sheet1!C$2:C$39, $A3)</f>
        <v>28</v>
      </c>
      <c r="D3" s="1">
        <f>COUNTIF(Sheet1!D$2:D$39, $A3)</f>
        <v>35</v>
      </c>
      <c r="E3" s="1">
        <f>COUNTIF(Sheet1!E$2:E$39, $A3)</f>
        <v>36</v>
      </c>
    </row>
    <row r="4" spans="1:14">
      <c r="A4" s="1" t="s">
        <v>15</v>
      </c>
      <c r="B4" s="1">
        <f>COUNTIF(Sheet1!B$2:B$39, A4)</f>
        <v>3</v>
      </c>
      <c r="C4" s="1">
        <f>COUNTIF(Sheet1!C$2:C$39, $A4)</f>
        <v>6</v>
      </c>
      <c r="D4" s="1">
        <f>COUNTIF(Sheet1!D$2:D$39, $A4)</f>
        <v>2</v>
      </c>
      <c r="E4" s="1">
        <f>COUNTIF(Sheet1!E$2:E$39, $A4)</f>
        <v>2</v>
      </c>
    </row>
    <row r="5" spans="1:14">
      <c r="A5" s="1" t="s">
        <v>7</v>
      </c>
      <c r="B5" s="1">
        <f>COUNTIF(Sheet1!B$2:B$39, A5)</f>
        <v>0</v>
      </c>
      <c r="C5" s="1">
        <f>COUNTIF(Sheet1!C$2:C$39, $A5)</f>
        <v>4</v>
      </c>
      <c r="D5" s="1">
        <f>COUNTIF(Sheet1!D$2:D$39, $A5)</f>
        <v>1</v>
      </c>
      <c r="E5" s="1">
        <f>COUNTIF(Sheet1!E$2:E$39, $A5)</f>
        <v>0</v>
      </c>
    </row>
    <row r="6" spans="1:14">
      <c r="A6" s="1" t="s">
        <v>84</v>
      </c>
      <c r="B6" s="4">
        <f>B3/38</f>
        <v>0.92105263157894735</v>
      </c>
      <c r="C6" s="4">
        <f t="shared" ref="C6:E6" si="0">C3/38</f>
        <v>0.73684210526315785</v>
      </c>
      <c r="D6" s="4">
        <f t="shared" si="0"/>
        <v>0.92105263157894735</v>
      </c>
      <c r="E6" s="4">
        <f t="shared" si="0"/>
        <v>0.94736842105263153</v>
      </c>
    </row>
    <row r="7" spans="1:14">
      <c r="A7" s="1" t="s">
        <v>85</v>
      </c>
      <c r="B7" s="4">
        <f t="shared" ref="B7:E7" si="1">B4/38</f>
        <v>7.8947368421052627E-2</v>
      </c>
      <c r="C7" s="4">
        <f t="shared" si="1"/>
        <v>0.15789473684210525</v>
      </c>
      <c r="D7" s="4">
        <f t="shared" si="1"/>
        <v>5.2631578947368418E-2</v>
      </c>
      <c r="E7" s="4">
        <f t="shared" si="1"/>
        <v>5.2631578947368418E-2</v>
      </c>
    </row>
    <row r="8" spans="1:14">
      <c r="A8" s="1" t="s">
        <v>86</v>
      </c>
      <c r="B8" s="4">
        <f t="shared" ref="B8:E8" si="2">B5/38</f>
        <v>0</v>
      </c>
      <c r="C8" s="4">
        <f t="shared" si="2"/>
        <v>0.10526315789473684</v>
      </c>
      <c r="D8" s="4">
        <f t="shared" si="2"/>
        <v>2.6315789473684209E-2</v>
      </c>
      <c r="E8" s="4">
        <f t="shared" si="2"/>
        <v>0</v>
      </c>
    </row>
    <row r="9" spans="1:14">
      <c r="A9" s="3" t="s">
        <v>88</v>
      </c>
      <c r="B9" s="1"/>
      <c r="C9" s="1"/>
      <c r="D9" s="1"/>
      <c r="E9" s="1"/>
    </row>
    <row r="10" spans="1:14">
      <c r="A10" s="1" t="s">
        <v>5</v>
      </c>
      <c r="B10" s="1">
        <f>COUNTIF(Sheet1!B$40:B$77, $A10)</f>
        <v>32</v>
      </c>
      <c r="C10" s="1">
        <f>COUNTIF(Sheet1!C$40:C$77, $A10)</f>
        <v>28</v>
      </c>
      <c r="D10" s="1">
        <f>COUNTIF(Sheet1!D$40:D$77, $A10)</f>
        <v>29</v>
      </c>
      <c r="E10" s="1">
        <f>COUNTIF(Sheet1!E$40:E$77, $A10)</f>
        <v>32</v>
      </c>
    </row>
    <row r="11" spans="1:14">
      <c r="A11" s="1" t="s">
        <v>15</v>
      </c>
      <c r="B11" s="1">
        <f>COUNTIF(Sheet1!B$40:B$77, $A11)</f>
        <v>0</v>
      </c>
      <c r="C11" s="1">
        <f>COUNTIF(Sheet1!C$40:C$77, $A11)</f>
        <v>3</v>
      </c>
      <c r="D11" s="1">
        <f>COUNTIF(Sheet1!D$40:D$77, $A11)</f>
        <v>1</v>
      </c>
      <c r="E11" s="1">
        <f>COUNTIF(Sheet1!E$40:E$77, $A11)</f>
        <v>1</v>
      </c>
    </row>
    <row r="12" spans="1:14">
      <c r="A12" s="1" t="s">
        <v>7</v>
      </c>
      <c r="B12" s="1">
        <f>COUNTIF(Sheet1!B$40:B$77, $A12)</f>
        <v>6</v>
      </c>
      <c r="C12" s="1">
        <f>COUNTIF(Sheet1!C$40:C$77, $A12)</f>
        <v>7</v>
      </c>
      <c r="D12" s="1">
        <f>COUNTIF(Sheet1!D$40:D$77, $A12)</f>
        <v>8</v>
      </c>
      <c r="E12" s="1">
        <f>COUNTIF(Sheet1!E$40:E$77, $A12)</f>
        <v>5</v>
      </c>
      <c r="J12" s="3"/>
      <c r="K12" s="1"/>
      <c r="L12" s="1"/>
      <c r="M12" s="1"/>
      <c r="N12" s="1"/>
    </row>
    <row r="13" spans="1:14">
      <c r="A13" s="1" t="s">
        <v>84</v>
      </c>
      <c r="B13" s="4">
        <f>B10/38</f>
        <v>0.84210526315789469</v>
      </c>
      <c r="C13" s="4">
        <f t="shared" ref="C13:E13" si="3">C10/38</f>
        <v>0.73684210526315785</v>
      </c>
      <c r="D13" s="4">
        <f t="shared" si="3"/>
        <v>0.76315789473684215</v>
      </c>
      <c r="E13" s="4">
        <f t="shared" si="3"/>
        <v>0.84210526315789469</v>
      </c>
      <c r="J13" s="1"/>
      <c r="K13" s="1"/>
      <c r="L13" s="1"/>
      <c r="M13" s="1"/>
      <c r="N13" s="1"/>
    </row>
    <row r="14" spans="1:14">
      <c r="A14" s="1" t="s">
        <v>85</v>
      </c>
      <c r="B14" s="4">
        <f t="shared" ref="B14:E14" si="4">B11/38</f>
        <v>0</v>
      </c>
      <c r="C14" s="4">
        <f t="shared" si="4"/>
        <v>7.8947368421052627E-2</v>
      </c>
      <c r="D14" s="4">
        <f t="shared" si="4"/>
        <v>2.6315789473684209E-2</v>
      </c>
      <c r="E14" s="4">
        <f t="shared" si="4"/>
        <v>2.6315789473684209E-2</v>
      </c>
      <c r="J14" s="1"/>
      <c r="K14" s="1"/>
      <c r="L14" s="1"/>
      <c r="M14" s="1"/>
      <c r="N14" s="1"/>
    </row>
    <row r="15" spans="1:14">
      <c r="A15" s="1" t="s">
        <v>86</v>
      </c>
      <c r="B15" s="4">
        <f t="shared" ref="B15:E15" si="5">B12/38</f>
        <v>0.15789473684210525</v>
      </c>
      <c r="C15" s="4">
        <f t="shared" si="5"/>
        <v>0.18421052631578946</v>
      </c>
      <c r="D15" s="4">
        <f t="shared" si="5"/>
        <v>0.21052631578947367</v>
      </c>
      <c r="E15" s="4">
        <f t="shared" si="5"/>
        <v>0.13157894736842105</v>
      </c>
      <c r="J15" s="1"/>
      <c r="K15" s="1"/>
      <c r="L15" s="1"/>
      <c r="M15" s="1"/>
      <c r="N15" s="1"/>
    </row>
    <row r="16" spans="1:14">
      <c r="A16" s="3" t="s">
        <v>83</v>
      </c>
      <c r="B16" s="1"/>
      <c r="C16" s="1"/>
      <c r="D16" s="1"/>
      <c r="E16" s="1"/>
      <c r="J16" s="1"/>
      <c r="K16" s="4"/>
      <c r="L16" s="4"/>
      <c r="M16" s="4"/>
      <c r="N16" s="4"/>
    </row>
    <row r="17" spans="1:14">
      <c r="A17" s="1" t="s">
        <v>5</v>
      </c>
      <c r="B17" s="1">
        <f>COUNTIF(Sheet1!B$2:B$77, $A17)</f>
        <v>67</v>
      </c>
      <c r="C17" s="1">
        <f>COUNTIF(Sheet1!C$2:C$77, $A17)</f>
        <v>56</v>
      </c>
      <c r="D17" s="1">
        <f>COUNTIF(Sheet1!D$2:D$77, $A17)</f>
        <v>64</v>
      </c>
      <c r="E17" s="1">
        <f>COUNTIF(Sheet1!E$2:E$77, $A17)</f>
        <v>68</v>
      </c>
      <c r="J17" s="1"/>
      <c r="K17" s="4"/>
      <c r="L17" s="4"/>
      <c r="M17" s="4"/>
      <c r="N17" s="4"/>
    </row>
    <row r="18" spans="1:14">
      <c r="A18" s="1" t="s">
        <v>15</v>
      </c>
      <c r="B18" s="1">
        <f>COUNTIF(Sheet1!B$2:B$77, $A18)</f>
        <v>3</v>
      </c>
      <c r="C18" s="1">
        <f>COUNTIF(Sheet1!C$2:C$77, $A18)</f>
        <v>9</v>
      </c>
      <c r="D18" s="1">
        <f>COUNTIF(Sheet1!D$2:D$77, $A18)</f>
        <v>3</v>
      </c>
      <c r="E18" s="1">
        <f>COUNTIF(Sheet1!E$2:E$77, $A18)</f>
        <v>3</v>
      </c>
      <c r="J18" s="1"/>
      <c r="K18" s="4"/>
      <c r="L18" s="4"/>
      <c r="M18" s="4"/>
      <c r="N18" s="4"/>
    </row>
    <row r="19" spans="1:14">
      <c r="A19" s="1" t="s">
        <v>7</v>
      </c>
      <c r="B19" s="1">
        <f>COUNTIF(Sheet1!B$2:B$77, $A19)</f>
        <v>6</v>
      </c>
      <c r="C19" s="1">
        <f>COUNTIF(Sheet1!C$2:C$77, $A19)</f>
        <v>11</v>
      </c>
      <c r="D19" s="1">
        <f>COUNTIF(Sheet1!D$2:D$77, $A19)</f>
        <v>9</v>
      </c>
      <c r="E19" s="1">
        <f>COUNTIF(Sheet1!E$2:E$77, $A19)</f>
        <v>5</v>
      </c>
      <c r="J19" s="3"/>
      <c r="K19" s="1"/>
      <c r="L19" s="1"/>
      <c r="M19" s="1"/>
      <c r="N19" s="1"/>
    </row>
    <row r="20" spans="1:14">
      <c r="A20" s="1" t="s">
        <v>84</v>
      </c>
      <c r="B20" s="4">
        <f>B17/76</f>
        <v>0.88157894736842102</v>
      </c>
      <c r="C20" s="4">
        <f t="shared" ref="C20:E20" si="6">C17/76</f>
        <v>0.73684210526315785</v>
      </c>
      <c r="D20" s="4">
        <f t="shared" si="6"/>
        <v>0.84210526315789469</v>
      </c>
      <c r="E20" s="4">
        <f t="shared" si="6"/>
        <v>0.89473684210526316</v>
      </c>
      <c r="J20" s="1"/>
      <c r="K20" s="1"/>
      <c r="L20" s="1"/>
      <c r="M20" s="1"/>
      <c r="N20" s="1"/>
    </row>
    <row r="21" spans="1:14">
      <c r="A21" s="1" t="s">
        <v>85</v>
      </c>
      <c r="B21" s="4">
        <f t="shared" ref="B21:E21" si="7">B18/76</f>
        <v>3.9473684210526314E-2</v>
      </c>
      <c r="C21" s="4">
        <f t="shared" si="7"/>
        <v>0.11842105263157894</v>
      </c>
      <c r="D21" s="4">
        <f t="shared" si="7"/>
        <v>3.9473684210526314E-2</v>
      </c>
      <c r="E21" s="4">
        <f t="shared" si="7"/>
        <v>3.9473684210526314E-2</v>
      </c>
      <c r="J21" s="1"/>
      <c r="K21" s="1"/>
      <c r="L21" s="1"/>
      <c r="M21" s="1"/>
      <c r="N21" s="1"/>
    </row>
    <row r="22" spans="1:14">
      <c r="A22" s="1" t="s">
        <v>86</v>
      </c>
      <c r="B22" s="4">
        <f t="shared" ref="B22:E22" si="8">B19/76</f>
        <v>7.8947368421052627E-2</v>
      </c>
      <c r="C22" s="4">
        <f t="shared" si="8"/>
        <v>0.14473684210526316</v>
      </c>
      <c r="D22" s="4">
        <f t="shared" si="8"/>
        <v>0.11842105263157894</v>
      </c>
      <c r="E22" s="4">
        <f t="shared" si="8"/>
        <v>6.5789473684210523E-2</v>
      </c>
      <c r="J22" s="1"/>
      <c r="K22" s="1"/>
      <c r="L22" s="1"/>
      <c r="M22" s="1"/>
      <c r="N22" s="1"/>
    </row>
    <row r="23" spans="1:14">
      <c r="A23" s="1"/>
      <c r="B23" s="1"/>
      <c r="C23" s="1"/>
      <c r="D23" s="1"/>
      <c r="E23" s="1"/>
      <c r="J23" s="1"/>
      <c r="K23" s="4"/>
      <c r="L23" s="4"/>
      <c r="M23" s="4"/>
      <c r="N23" s="4"/>
    </row>
    <row r="24" spans="1:14">
      <c r="J24" s="1"/>
      <c r="K24" s="4"/>
      <c r="L24" s="4"/>
      <c r="M24" s="4"/>
      <c r="N24" s="4"/>
    </row>
    <row r="25" spans="1:14">
      <c r="J25" s="1"/>
      <c r="K25" s="4"/>
      <c r="L25" s="4"/>
      <c r="M25" s="4"/>
      <c r="N25" s="4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김진대</dc:creator>
  <cp:lastModifiedBy>Jindae Kim</cp:lastModifiedBy>
  <dcterms:created xsi:type="dcterms:W3CDTF">2024-09-08T05:03:18Z</dcterms:created>
  <dcterms:modified xsi:type="dcterms:W3CDTF">2024-09-09T12:38:27Z</dcterms:modified>
</cp:coreProperties>
</file>